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filterPrivacy="1"/>
  <xr:revisionPtr revIDLastSave="3028" documentId="13_ncr:1_{7EA73F61-E062-4227-BF42-089D1369A462}" xr6:coauthVersionLast="47" xr6:coauthVersionMax="47" xr10:uidLastSave="{91C5BB4F-7C83-452F-977B-B5505C5849F3}"/>
  <bookViews>
    <workbookView xWindow="-110" yWindow="-110" windowWidth="19420" windowHeight="11500" tabRatio="601" firstSheet="2" activeTab="2" xr2:uid="{00000000-000D-0000-FFFF-FFFF00000000}"/>
  </bookViews>
  <sheets>
    <sheet name="需要邮寄物料" sheetId="14" r:id="rId1"/>
    <sheet name="Test Status" sheetId="8" r:id="rId2"/>
    <sheet name="测试用例" sheetId="12" r:id="rId3"/>
    <sheet name="DDList_V2.1" sheetId="23" r:id="rId4"/>
    <sheet name="DDList_V2.0" sheetId="22" r:id="rId5"/>
    <sheet name="DDList_V1.9" sheetId="21" r:id="rId6"/>
    <sheet name="DDList_V1.8" sheetId="20" r:id="rId7"/>
    <sheet name="DDList_V1.7" sheetId="19" r:id="rId8"/>
    <sheet name="DDList-V1.6" sheetId="18" r:id="rId9"/>
    <sheet name="DDList-V1.5" sheetId="16" r:id="rId10"/>
    <sheet name="DDList-V1.4" sheetId="17" r:id="rId11"/>
    <sheet name="DDList-V1.2" sheetId="15" r:id="rId12"/>
    <sheet name="Stress" sheetId="13" r:id="rId13"/>
    <sheet name="Config" sheetId="10" r:id="rId14"/>
    <sheet name="备注说明" sheetId="11" r:id="rId15"/>
    <sheet name="Release note" sheetId="2" r:id="rId16"/>
  </sheets>
  <definedNames>
    <definedName name="_xlnm._FilterDatabase" localSheetId="2" hidden="1">测试用例!$A$1:$BM$54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5" i="12" l="1"/>
  <c r="L55" i="12"/>
  <c r="M55" i="12"/>
  <c r="N55" i="12"/>
  <c r="O55" i="12"/>
  <c r="P55" i="12"/>
  <c r="Q55" i="12"/>
  <c r="R55" i="12"/>
  <c r="S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AJ55" i="12"/>
  <c r="AK55" i="12"/>
  <c r="AL55" i="12"/>
  <c r="AM55" i="12"/>
  <c r="AN55" i="12"/>
  <c r="AO55" i="12"/>
  <c r="AP55" i="12"/>
  <c r="AQ55" i="12"/>
  <c r="AR55" i="12"/>
  <c r="AS55" i="12"/>
  <c r="AT55" i="12"/>
  <c r="AU55" i="12"/>
  <c r="AV55" i="12"/>
  <c r="AW55" i="12"/>
  <c r="AX55" i="12"/>
  <c r="AY55" i="12"/>
  <c r="AZ55" i="12"/>
  <c r="BA55" i="12"/>
  <c r="BB55" i="12"/>
  <c r="BC55" i="12"/>
  <c r="BD55" i="12"/>
  <c r="BE55" i="12"/>
  <c r="BF55" i="12"/>
  <c r="BG55" i="12"/>
  <c r="BH55" i="12"/>
  <c r="BI55" i="12"/>
  <c r="BJ55" i="12"/>
  <c r="BK55" i="12"/>
  <c r="BL55" i="12"/>
  <c r="BM55" i="12"/>
  <c r="J55" i="12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E24" i="8"/>
  <c r="E25" i="8"/>
  <c r="E26" i="8"/>
  <c r="E27" i="8"/>
  <c r="E28" i="8"/>
  <c r="E29" i="8"/>
  <c r="E30" i="8"/>
  <c r="E31" i="8"/>
  <c r="E32" i="8"/>
  <c r="F23" i="8"/>
  <c r="F24" i="8"/>
  <c r="E23" i="8"/>
  <c r="C23" i="8"/>
  <c r="E20" i="8"/>
  <c r="F21" i="8"/>
  <c r="F22" i="8"/>
  <c r="F25" i="8"/>
  <c r="F26" i="8"/>
  <c r="F27" i="8"/>
  <c r="F28" i="8"/>
  <c r="F29" i="8"/>
  <c r="F30" i="8"/>
  <c r="F31" i="8"/>
  <c r="F32" i="8"/>
  <c r="F12" i="8"/>
  <c r="F13" i="8"/>
  <c r="F14" i="8"/>
  <c r="F15" i="8"/>
  <c r="E12" i="8"/>
  <c r="E13" i="8"/>
  <c r="E14" i="8"/>
  <c r="E15" i="8"/>
  <c r="D12" i="8"/>
  <c r="D13" i="8"/>
  <c r="D14" i="8"/>
  <c r="D15" i="8"/>
  <c r="C15" i="8" s="1"/>
  <c r="F11" i="8"/>
  <c r="F10" i="8"/>
  <c r="E11" i="8"/>
  <c r="E10" i="8"/>
  <c r="D11" i="8"/>
  <c r="D10" i="8"/>
  <c r="E3" i="8"/>
  <c r="D4" i="8"/>
  <c r="E8" i="8"/>
  <c r="E21" i="8"/>
  <c r="E4" i="8"/>
  <c r="D8" i="8"/>
  <c r="F5" i="8"/>
  <c r="D6" i="8"/>
  <c r="F4" i="8"/>
  <c r="E22" i="8"/>
  <c r="E5" i="8"/>
  <c r="F20" i="8"/>
  <c r="F33" i="8" s="1"/>
  <c r="F3" i="8"/>
  <c r="D3" i="8"/>
  <c r="C3" i="8" s="1"/>
  <c r="D9" i="8"/>
  <c r="D5" i="8"/>
  <c r="C21" i="8"/>
  <c r="F6" i="8"/>
  <c r="F9" i="8"/>
  <c r="E7" i="8"/>
  <c r="D7" i="8"/>
  <c r="F8" i="8"/>
  <c r="F7" i="8"/>
  <c r="E6" i="8"/>
  <c r="E9" i="8"/>
  <c r="C12" i="8"/>
  <c r="C20" i="8" l="1"/>
  <c r="D16" i="8"/>
  <c r="C32" i="8"/>
  <c r="C31" i="8"/>
  <c r="C30" i="8"/>
  <c r="C29" i="8"/>
  <c r="C28" i="8"/>
  <c r="C27" i="8"/>
  <c r="E33" i="8"/>
  <c r="D33" i="8"/>
  <c r="C26" i="8"/>
  <c r="G29" i="8"/>
  <c r="G26" i="8"/>
  <c r="G23" i="8"/>
  <c r="C25" i="8"/>
  <c r="G25" i="8" s="1"/>
  <c r="C24" i="8"/>
  <c r="G24" i="8" s="1"/>
  <c r="C22" i="8"/>
  <c r="G22" i="8" s="1"/>
  <c r="G27" i="8"/>
  <c r="G31" i="8"/>
  <c r="G28" i="8"/>
  <c r="G32" i="8"/>
  <c r="G30" i="8"/>
  <c r="C14" i="8"/>
  <c r="G14" i="8"/>
  <c r="C13" i="8"/>
  <c r="G13" i="8"/>
  <c r="C11" i="8"/>
  <c r="C6" i="8"/>
  <c r="C10" i="8"/>
  <c r="G11" i="8" s="1"/>
  <c r="C7" i="8"/>
  <c r="G7" i="8" s="1"/>
  <c r="G15" i="8"/>
  <c r="G21" i="8"/>
  <c r="C5" i="8"/>
  <c r="G5" i="8" s="1"/>
  <c r="C9" i="8"/>
  <c r="G9" i="8" s="1"/>
  <c r="F16" i="8"/>
  <c r="F41" i="8" s="1"/>
  <c r="G6" i="8"/>
  <c r="C8" i="8"/>
  <c r="G8" i="8" s="1"/>
  <c r="G12" i="8"/>
  <c r="C4" i="8"/>
  <c r="G4" i="8" s="1"/>
  <c r="E16" i="8"/>
  <c r="E41" i="8" l="1"/>
  <c r="C33" i="8"/>
  <c r="D41" i="8"/>
  <c r="G33" i="8"/>
  <c r="G10" i="8"/>
  <c r="G3" i="8"/>
  <c r="C16" i="8"/>
  <c r="G20" i="8"/>
  <c r="G16" i="8" l="1"/>
  <c r="C41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tc={12B5A898-C89D-48DE-A4BF-C4E2CE44D982}</author>
    <author>tc={71F648A6-9EDE-43EB-966E-5C1B7EC3F617}</author>
  </authors>
  <commentList>
    <comment ref="D7" authorId="0" shapeId="0" xr:uid="{12B5A898-C89D-48DE-A4BF-C4E2CE44D982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https://jira1.labs.lenovo.com/browse/CFCSOL-21283</t>
      </text>
    </comment>
    <comment ref="E8" authorId="1" shapeId="0" xr:uid="{71F648A6-9EDE-43EB-966E-5C1B7EC3F617}">
      <text>
        <t>[Threaded comment]
Your version of Excel allows you to read this threaded comment; however, any edits to it will get removed if the file is opened in a newer version of Excel. Learn more: https://go.microsoft.com/fwlink/?linkid=870924
Comment:
      OSE-6189</t>
      </text>
    </comment>
  </commentList>
</comments>
</file>

<file path=xl/sharedStrings.xml><?xml version="1.0" encoding="utf-8"?>
<sst xmlns="http://schemas.openxmlformats.org/spreadsheetml/2006/main" count="4801" uniqueCount="1051">
  <si>
    <t>No.</t>
  </si>
  <si>
    <t>PN</t>
  </si>
  <si>
    <t>描述</t>
  </si>
  <si>
    <t>需求数量</t>
  </si>
  <si>
    <t>SSS7B46135</t>
    <phoneticPr fontId="5" type="noConversion"/>
  </si>
  <si>
    <t>Generic Memblaze Pblaze6 P6537  P6537DT0640Y00 6.4T 2.5" U.2 NVMe SSD</t>
    <phoneticPr fontId="5" type="noConversion"/>
  </si>
  <si>
    <t>1pcs</t>
  </si>
  <si>
    <t>SSS7B67715</t>
    <phoneticPr fontId="5" type="noConversion"/>
  </si>
  <si>
    <t>Longsys RSYE3836N-3840 2.5" 3.84T UNCIA 3836 SATA SSD</t>
  </si>
  <si>
    <t>SHD7A74391</t>
  </si>
  <si>
    <t>Seagate Cimarron BP  ST8000NM018B 2TJ203 3.5" 7.2K SAS 8T 512e SDnD MDRAM HDD</t>
    <phoneticPr fontId="5" type="noConversion"/>
  </si>
  <si>
    <t>FW</t>
  </si>
  <si>
    <t>Total</t>
  </si>
  <si>
    <t>PASS</t>
  </si>
  <si>
    <t>FAIL</t>
  </si>
  <si>
    <t>Not Run</t>
    <phoneticPr fontId="5" type="noConversion"/>
  </si>
  <si>
    <t>Completed(%)</t>
  </si>
  <si>
    <t>Windows Server2022</t>
  </si>
  <si>
    <t>Windows Server  2025</t>
  </si>
  <si>
    <t>New Add</t>
    <phoneticPr fontId="5" type="noConversion"/>
  </si>
  <si>
    <t>Vmware ESXi 8.0 U3</t>
  </si>
  <si>
    <t xml:space="preserve">Vmware ESXi 9.0  </t>
  </si>
  <si>
    <t>RHEL 8.10</t>
  </si>
  <si>
    <t>RHEL 9.4</t>
  </si>
  <si>
    <t>RHEL 9.5</t>
  </si>
  <si>
    <t>RHEL 9.6</t>
  </si>
  <si>
    <t>RHEL 10</t>
  </si>
  <si>
    <t>SLES 15 SP6</t>
  </si>
  <si>
    <t>Ubuntu 22.04.5 HWE（Kernel V6.8）</t>
  </si>
  <si>
    <t>Ubuntu 24.04 LTS GA</t>
  </si>
  <si>
    <t>Ubuntu 24.04.02</t>
  </si>
  <si>
    <r>
      <t>FW</t>
    </r>
    <r>
      <rPr>
        <sz val="11"/>
        <color theme="1"/>
        <rFont val="微软雅黑"/>
        <family val="2"/>
        <charset val="134"/>
      </rPr>
      <t>总计</t>
    </r>
    <r>
      <rPr>
        <sz val="11"/>
        <color theme="1"/>
        <rFont val="Calibri"/>
        <family val="2"/>
      </rPr>
      <t>case</t>
    </r>
    <r>
      <rPr>
        <sz val="11"/>
        <color theme="1"/>
        <rFont val="微软雅黑"/>
        <family val="2"/>
        <charset val="134"/>
      </rPr>
      <t>数</t>
    </r>
    <phoneticPr fontId="5" type="noConversion"/>
  </si>
  <si>
    <t>Driver</t>
  </si>
  <si>
    <r>
      <rPr>
        <sz val="11"/>
        <color theme="1"/>
        <rFont val="微软雅黑"/>
        <family val="2"/>
        <charset val="134"/>
      </rPr>
      <t>备注说明：</t>
    </r>
    <phoneticPr fontId="5" type="noConversion"/>
  </si>
  <si>
    <r>
      <t>1.</t>
    </r>
    <r>
      <rPr>
        <sz val="11"/>
        <color theme="1"/>
        <rFont val="微软雅黑"/>
        <family val="2"/>
        <charset val="134"/>
      </rPr>
      <t>测试用例中</t>
    </r>
    <r>
      <rPr>
        <sz val="11"/>
        <color theme="1"/>
        <rFont val="Calibri"/>
        <family val="2"/>
      </rPr>
      <t>Y</t>
    </r>
    <r>
      <rPr>
        <sz val="11"/>
        <color theme="1"/>
        <rFont val="微软雅黑"/>
        <family val="2"/>
        <charset val="134"/>
      </rPr>
      <t>表示需要测试，测试没有问题打</t>
    </r>
    <r>
      <rPr>
        <sz val="11"/>
        <color theme="1"/>
        <rFont val="Calibri"/>
        <family val="2"/>
      </rPr>
      <t>PASS,</t>
    </r>
    <r>
      <rPr>
        <sz val="11"/>
        <color theme="1"/>
        <rFont val="微软雅黑"/>
        <family val="2"/>
        <charset val="134"/>
      </rPr>
      <t>测试有问题打</t>
    </r>
    <r>
      <rPr>
        <sz val="11"/>
        <color theme="1"/>
        <rFont val="Calibri"/>
        <family val="2"/>
      </rPr>
      <t>FAIL</t>
    </r>
    <phoneticPr fontId="5" type="noConversion"/>
  </si>
  <si>
    <r>
      <t>2.BIOS/BMC/FPGA</t>
    </r>
    <r>
      <rPr>
        <sz val="11"/>
        <color theme="1"/>
        <rFont val="微软雅黑"/>
        <family val="2"/>
        <charset val="134"/>
      </rPr>
      <t>版本为测试时的版本</t>
    </r>
    <phoneticPr fontId="5" type="noConversion"/>
  </si>
  <si>
    <t>Type</t>
    <phoneticPr fontId="7" type="noConversion"/>
  </si>
  <si>
    <t>PN</t>
    <phoneticPr fontId="7" type="noConversion"/>
  </si>
  <si>
    <t>GP/CFC/HS</t>
    <phoneticPr fontId="5" type="noConversion"/>
  </si>
  <si>
    <t>Supplier PN</t>
    <phoneticPr fontId="5" type="noConversion"/>
  </si>
  <si>
    <t>L2 Description</t>
    <phoneticPr fontId="5" type="noConversion"/>
  </si>
  <si>
    <t>Supplier</t>
    <phoneticPr fontId="5" type="noConversion"/>
  </si>
  <si>
    <t>库存情况</t>
  </si>
  <si>
    <t>测试人员</t>
    <phoneticPr fontId="5" type="noConversion"/>
  </si>
  <si>
    <t>FW</t>
    <phoneticPr fontId="5" type="noConversion"/>
  </si>
  <si>
    <t>FW Restult</t>
  </si>
  <si>
    <t>Driver Result</t>
    <phoneticPr fontId="5" type="noConversion"/>
  </si>
  <si>
    <t>BIOS/BMC/FPGA/Config</t>
    <phoneticPr fontId="5" type="noConversion"/>
  </si>
  <si>
    <t>FW Restult</t>
    <phoneticPr fontId="5" type="noConversion"/>
  </si>
  <si>
    <t>Driver Result</t>
  </si>
  <si>
    <r>
      <rPr>
        <sz val="9"/>
        <color rgb="FF000000"/>
        <rFont val="Calibri"/>
      </rPr>
      <t>Ubuntu 22.04.5 HWE</t>
    </r>
    <r>
      <rPr>
        <sz val="9"/>
        <color rgb="FF000000"/>
        <rFont val="微软雅黑"/>
      </rPr>
      <t>（</t>
    </r>
    <r>
      <rPr>
        <sz val="9"/>
        <color rgb="FF000000"/>
        <rFont val="Calibri"/>
      </rPr>
      <t>Kernel V6.8</t>
    </r>
    <r>
      <rPr>
        <sz val="9"/>
        <color rgb="FF000000"/>
        <rFont val="微软雅黑"/>
      </rPr>
      <t>）</t>
    </r>
  </si>
  <si>
    <t>Tool</t>
    <phoneticPr fontId="5" type="noConversion"/>
  </si>
  <si>
    <t>Remark</t>
    <phoneticPr fontId="5" type="noConversion"/>
  </si>
  <si>
    <t>change date</t>
    <phoneticPr fontId="5" type="noConversion"/>
  </si>
  <si>
    <t>GPU
DDlist V1.4中测试此GPU</t>
  </si>
  <si>
    <t>SG27B23466</t>
  </si>
  <si>
    <t>GP</t>
  </si>
  <si>
    <t>900-2G133-2720-100</t>
  </si>
  <si>
    <t>ThinkSystem NVIDIA A10 24GB PCIe Gen4 Passive GPU w/o CEC</t>
    <phoneticPr fontId="5" type="noConversion"/>
  </si>
  <si>
    <t>NVIDIA</t>
    <phoneticPr fontId="5" type="noConversion"/>
  </si>
  <si>
    <t>依敏</t>
  </si>
  <si>
    <t>Version：94.02.91.00.02
A10_g133_0215_890__9402910003-9402910002-prod
#DDMS</t>
  </si>
  <si>
    <t>Version:572.61
https://www.nvidia.cn/drivers/details/241407/
#Link</t>
    <phoneticPr fontId="5" type="noConversion"/>
  </si>
  <si>
    <t>Version：570.124.06
https://www.nvidia.cn/drivers/details/241823/
#Link</t>
  </si>
  <si>
    <t>pass</t>
  </si>
  <si>
    <t>Version：570.124.06
https://www.nvidia.cn/drivers/details/241823/
#Link</t>
    <phoneticPr fontId="5" type="noConversion"/>
  </si>
  <si>
    <t>GPU</t>
  </si>
  <si>
    <t>SG27B81790</t>
  </si>
  <si>
    <t>CFC</t>
  </si>
  <si>
    <t>900-2G193-0030-000</t>
  </si>
  <si>
    <t>NVIDIA L2 PCIe Gen4 Passive GPU</t>
  </si>
  <si>
    <t>NVIDIA</t>
  </si>
  <si>
    <t>来料自带版本</t>
    <phoneticPr fontId="5" type="noConversion"/>
  </si>
  <si>
    <t>Version:572.61
https://www.nvidia.cn/drivers/details/241407/
#Link</t>
  </si>
  <si>
    <t>BMC 版本	6.1a.15	
UEFI 版本	kae154a-3.10	
FPGA 版本	2.5.0	
BP1 CPLD版本	2.4</t>
  </si>
  <si>
    <t>SSD</t>
  </si>
  <si>
    <t>SSS7A75275</t>
  </si>
  <si>
    <t>MZQL27T6HBLA-00B7C</t>
    <phoneticPr fontId="5" type="noConversion"/>
  </si>
  <si>
    <t>Generic Samsung PM9A3 7.68T MZQL27T6HBLA-00B7C 2.5" NVMe SSD -STD</t>
  </si>
  <si>
    <t>Samsung</t>
  </si>
  <si>
    <t xml:space="preserve">Version：GDC58C2Q
lnvgy_fw_drives_all-1.12.01_linux_x86-64-cfc 
Form ID:000317 
#SPAR </t>
  </si>
  <si>
    <t>inbox</t>
    <phoneticPr fontId="5" type="noConversion"/>
  </si>
  <si>
    <t>BMC 版本	6.1a.15	
UEFI 版本	kae154c-3.10	
FPGA 版本	2.5.0	
BP3 CPLD版本	3.4</t>
  </si>
  <si>
    <t xml:space="preserve">SSD </t>
  </si>
  <si>
    <t>SSS7A23400</t>
  </si>
  <si>
    <t>SSDPF2KX019T1O</t>
  </si>
  <si>
    <t>Generic，Generic+, orderable SSD：Intel P5520 1.92/1.6TB NVMe PCIe 4.0 x4 SSD</t>
  </si>
  <si>
    <t>Intel</t>
  </si>
  <si>
    <t xml:space="preserve">Version:9CV10510
lnvgy_fw_drives_all-1.12.01_linux_x86-64-cfc 
Form ID:000317 
#SPAR </t>
    <phoneticPr fontId="5" type="noConversion"/>
  </si>
  <si>
    <t>SSS7B80068</t>
    <phoneticPr fontId="5" type="noConversion"/>
  </si>
  <si>
    <t>MZWL61T9HFLT-00AW7</t>
  </si>
  <si>
    <t>Samsung, 2.5" U.2 PM9D3a/PM9D5a 1.92TB/1.6TB NVMe PCIe 5.0 x4 HS SSD</t>
  </si>
  <si>
    <t xml:space="preserve">Version:LDDM5U2Q               
lnvgy_fw_drives_all-1.12.01_linux_x86-64-cfc 
Form ID:000317 
#SPAR </t>
  </si>
  <si>
    <t>BMC 版本	6.1a.14	
UEFI 版本	kae154a-3.10	
FPGA 版本	2.4.0	
BP3 CPLD版本	3.4</t>
  </si>
  <si>
    <t>SSS7B46135</t>
  </si>
  <si>
    <t>P6537DT0640Y00</t>
  </si>
  <si>
    <t xml:space="preserve"> Memblaze</t>
  </si>
  <si>
    <t>深圳无库存</t>
    <phoneticPr fontId="5" type="noConversion"/>
  </si>
  <si>
    <t xml:space="preserve">Version：0A403600
lnvgy_fw_drives_all-1.12.01_linux_x86-64-cfc 
Form ID:000317 
#SPAR </t>
    <phoneticPr fontId="5" type="noConversion"/>
  </si>
  <si>
    <t>SSS7B07973</t>
    <phoneticPr fontId="5" type="noConversion"/>
  </si>
  <si>
    <t>MZWLO3T8HCLS-00A07</t>
    <phoneticPr fontId="5" type="noConversion"/>
  </si>
  <si>
    <t>Generic Samsung,2.5" U.3  PM1743 3.84TB Read Intensive/PM1745 3.2TB Mixed Use NVMe PCIe 5.0 x4 HS SSD</t>
  </si>
  <si>
    <t>Version：OPPA8B5Q
lnvgy_fw_drives_all-1.12.01_linux_x86-64-cfc 
Form ID:000317 
#SPAR</t>
    <phoneticPr fontId="5" type="noConversion"/>
  </si>
  <si>
    <t>HDD</t>
  </si>
  <si>
    <t>SHD7A23146</t>
  </si>
  <si>
    <t>HS</t>
  </si>
  <si>
    <t>ST600MM0009</t>
    <phoneticPr fontId="5" type="noConversion"/>
  </si>
  <si>
    <t>Seagate ST600MM0009 Skybolt 2.5 10K SAS12G 600G 512N HDD for IPDC</t>
  </si>
  <si>
    <t>Seagate</t>
  </si>
  <si>
    <t xml:space="preserve">Version：N009
lnvgy_fw_drives_all-1.12.01_linux_x86-64-cfc 
Form ID:000317 
#SPAR </t>
  </si>
  <si>
    <t>BMC 版本	6.1a.13	
UEFI 版本	kae152a-3.08	
FPGA 版本	2.4.0	
BP1 CPLD版本	2.4</t>
  </si>
  <si>
    <t>SHD7A23148</t>
    <phoneticPr fontId="5" type="noConversion"/>
  </si>
  <si>
    <t>ST1800MM0129</t>
    <phoneticPr fontId="5" type="noConversion"/>
  </si>
  <si>
    <t>Seagate ST1800MM0129 Skybolt 2.5 10K SAS12G 1.8T 512E HDD for IPDC</t>
  </si>
  <si>
    <t xml:space="preserve">Version：C009
lnvgy_fw_drives_all-1.12.01_linux_x86-64-cfc 
Form ID:000317 
#SPAR </t>
  </si>
  <si>
    <t>SSS7B43769</t>
    <phoneticPr fontId="5" type="noConversion"/>
  </si>
  <si>
    <t>UP2A61T9SD004LX</t>
    <phoneticPr fontId="5" type="noConversion"/>
  </si>
  <si>
    <t>Generic  UnionMemory UH711a 1.92T UP2A61T9SD004LX PCIe Gen4x4 NVMe SSD</t>
  </si>
  <si>
    <t>UnionMemory</t>
  </si>
  <si>
    <t>Version：8125
lnvgy_fw_drives_all-1.12.01_linux_x86-64-cfc 
Form ID:000317 
#SPAR</t>
    <phoneticPr fontId="5" type="noConversion"/>
  </si>
  <si>
    <t>SSS7B67715</t>
  </si>
  <si>
    <t>RSYE3836N-3840</t>
  </si>
  <si>
    <t>Longsys RSYE3836N-3840 2.5" 3.84T UNCIA 3836 SATA SSD</t>
    <phoneticPr fontId="5" type="noConversion"/>
  </si>
  <si>
    <t>Longsys</t>
  </si>
  <si>
    <t>Version:SX00008D
lnvgy_fw_drives_all-1.12.01_linux_x86-64-cfc 
Form ID:000317 
#SPAR</t>
    <phoneticPr fontId="5" type="noConversion"/>
  </si>
  <si>
    <t>ST8000NM018B</t>
  </si>
  <si>
    <t>Seagate Cimarron BP  ST8000NM018B 2TJ203 3.5" 7.2K SAS 8T 512e SDnD MDRAM HDD</t>
  </si>
  <si>
    <t>替换料号SR17B09242</t>
  </si>
  <si>
    <t xml:space="preserve">Version: E004
lnvgy_fw_drives_all-1.12.01_linux_x86-64-cfc 
Form ID:000317 
#SPAR </t>
  </si>
  <si>
    <t>SHD7A74397</t>
  </si>
  <si>
    <t>ST10000NM017B</t>
  </si>
  <si>
    <t>Seagate Cimarron BP ST10000NM017B 2TL103 3.5" 7.2K SATA 10T 512e SDnD MDRAM HDD</t>
  </si>
  <si>
    <t>Version: SC04
lnvgy_fw_drives_all-1.12.01_linux_x86-64-cfc 
Form ID:000317 
#SPAR 
Bridge code Version：BRE0
Bridge_Code_BRE0
#DDMS</t>
  </si>
  <si>
    <t>NVMe switch</t>
  </si>
  <si>
    <t>SR17A89820</t>
  </si>
  <si>
    <t>03-50054-02</t>
  </si>
  <si>
    <t>ThinkSystem 1611-8P PCIe Gen4 Switch Adapter</t>
  </si>
  <si>
    <t>Broadcom</t>
  </si>
  <si>
    <t>Version :  125.07.04.00
lnvgy_fw_storehba_mpt3.nv.hp-125.07.04.00-0-a_windows_x86-64-cfc
Form ID:000314
lnvgy_fw_storehba_mpt3.nv.hp-125.07.04.00-0_linux_x86-64-cfc
Form ID:000313
#SPAR</t>
  </si>
  <si>
    <t>Version: 2.61.72.00-0-a
lnvgy_dd_storehba_mpt3.nv-2.61.72.00-0-a_windows_x86-64-cfc
FormID:000438
#SPAR</t>
    <phoneticPr fontId="0" type="noConversion"/>
  </si>
  <si>
    <t xml:space="preserve">Version:  2.61.72.00-2-a
lnvgy_dd_storehba_mpt3.nv-2.61.72.00-2-a_windows_x86-64-cfc
FormID:000439
#SPAR
</t>
  </si>
  <si>
    <t>Version：20240822-vc
lnvgy_dd_storehba_mpt3.5.x40-20240822-vc_vmware_x86-64-cfc
Form ID:000108
#SPAR</t>
  </si>
  <si>
    <t>Version：50.00.02.00-0
lnvgy_dd_storehba_mpt3-50.00.02.00-0_rhel8_x86-64-cfc
Form ID:000115
#SPAR</t>
  </si>
  <si>
    <t>BMC 版本	6.1a.14	
UEFI 版本	kae154b-3.10	
FPGA 版本	2.4.0	
BP3 CPLD版本	3.4</t>
  </si>
  <si>
    <t>Version：50.00.02.00-0
lnvgy_dd_storehba_mpt3-50.00.02.00-0_rhel9_x86-64-cfc
Form ID:000116
#SPAR</t>
  </si>
  <si>
    <t>Version：50.00.02.00-0
lnvgy_dd_storehba_mpt3-50.00.02.00-0_sles15_x86-64-cfc
Form ID:000120
#SPAR</t>
  </si>
  <si>
    <t>NIC</t>
  </si>
  <si>
    <t>SN37A28376</t>
  </si>
  <si>
    <t>MM#934608</t>
  </si>
  <si>
    <t>Intel I350-T4 PCIe 1Gb 4-Port RJ45 Ethernet Adapter</t>
  </si>
  <si>
    <t>Version:1.63, 0x80001000, 1.3755.0
intc-lnvgy_fw_nic_net-9.53-3.70-1.3755.0-0_linux_x86-64-cfc
From ID:000212
intc-lnvgy_fw_nic_net-9.53-3.70-1.3755.0-0_windows_x86-64-cfc
From ID:000213
#SPAR</t>
  </si>
  <si>
    <t>Version:14.1.5.0
intc-lnvgy_dd_nic_net-30.0.1-0_windows_x86-64-cfc 
From ID:000329
#SPAR</t>
  </si>
  <si>
    <t>BMC 版本	6.1a.13	
UEFI 版本	kae154a-3.10	
FPGA 版本	2.4.0	
BP1 CPLD版本	2.4</t>
  </si>
  <si>
    <t>Version:5.18.7
intc-lnvgy_dd_nic_net-30.0.1-0_rhel8_x86-64-cfc
From ID:000322
#SPAR</t>
    <phoneticPr fontId="5" type="noConversion"/>
  </si>
  <si>
    <t>Version:5.18.7
intc-lnvgy_dd_nic_net-30.0.1-2_rhel9_x86-64-cfc
From ID:000434
#SPAR</t>
    <phoneticPr fontId="0" type="noConversion"/>
  </si>
  <si>
    <t>Version:5.18.7
intc-lnvgy_dd_nic_net-30.0.1-2_rhel9_x86-64-cfc
From ID:000434
#SPAR</t>
  </si>
  <si>
    <t>Version:5.18.7
intc-lnvgy_dd_nic_net-30.0.1-0_sles15_x86-64-cfc
From ID:000325
#SPAR</t>
  </si>
  <si>
    <t>SN37A28493</t>
  </si>
  <si>
    <t>MCX631432AN-ADAB</t>
  </si>
  <si>
    <t>ThinkSystem Mellanox ConnectX-6 Lx 10/25GbE SFP28 2-port OCP Ethernet Adapter</t>
  </si>
  <si>
    <t xml:space="preserve">Mellanox </t>
  </si>
  <si>
    <t>Version:26.43.2566
mlnx-lnvgy_fw_nic_c4c_xx.43.2566_1_linux_x86-64-cfc
FormID:000467
mlnx-lnvgy_fw_nic_c4c_xx.43.2566_1_windows_x86-64-cfc
FormID:000468
#SPAR</t>
  </si>
  <si>
    <r>
      <t>Version:</t>
    </r>
    <r>
      <rPr>
        <sz val="10"/>
        <color rgb="FFFF0000"/>
        <rFont val="Calibri"/>
        <family val="2"/>
      </rPr>
      <t>24.10.26603.0</t>
    </r>
    <r>
      <rPr>
        <sz val="10"/>
        <rFont val="Calibri"/>
        <family val="2"/>
      </rPr>
      <t xml:space="preserve">
MLNX_WinOF2-24_10_50010_All_x64-cfc
FormID:000282
#SPAR</t>
    </r>
  </si>
  <si>
    <r>
      <rPr>
        <sz val="10"/>
        <color rgb="FF000000"/>
        <rFont val="Calibri"/>
      </rPr>
      <t>Version:</t>
    </r>
    <r>
      <rPr>
        <sz val="10"/>
        <color rgb="FFFF0000"/>
        <rFont val="Calibri"/>
      </rPr>
      <t xml:space="preserve">24.10.26603.0
</t>
    </r>
    <r>
      <rPr>
        <sz val="10"/>
        <color rgb="FF000000"/>
        <rFont val="Calibri"/>
      </rPr>
      <t>MLNX_WinOF2-24_10_50010_All_x64-cfc
FormID:000282
#SPAR</t>
    </r>
  </si>
  <si>
    <t>Version:24.10-2.1.8
MLNX_OFED_LINUX-24.10-2.1.8.0-rhel8.10-x86_64-cfc
FormID:000287
#SPAR</t>
  </si>
  <si>
    <t>inboxVersion:24.10-2.1.8
MLNX_OFED_LINUX-24.10-2.1.8.0-rhel9.5-x86_64-cfc
FormID:000303
#SPAR</t>
  </si>
  <si>
    <t>Version:24.10-2.1.8
MLNX_OFED_LINUX-24.10-2.1.8.0-sles15sp6-x86_64-cfc
FormID:000298
#SPAR</t>
  </si>
  <si>
    <t>Version:24.10-2.1.8
MLNX_OFED_LINUX-24.10-2.1.8.0-ubuntu22.04-x86_64-cfc
FormID:000300
#SPAR</t>
  </si>
  <si>
    <t>Version:24.10-2.1.8
MLNX_OFED_LINUX-24.10-2.1.8.0-ubuntu24.04-x86_64-cfc
FormID:000301
#SPAR</t>
  </si>
  <si>
    <t>4.30.1-113
mft-4.30.1-113-x86_64-cfc
FormID:000307
#SPAR</t>
    <phoneticPr fontId="5" type="noConversion"/>
  </si>
  <si>
    <t>wave1</t>
  </si>
  <si>
    <t>SN37A28408</t>
  </si>
  <si>
    <t>BCM957416N4161LC</t>
  </si>
  <si>
    <t>ThinkSystem Broadcom 57416 10GBASE-T 2-port + 5720 1GbE 2-port OCP Ethernet Adapter</t>
  </si>
  <si>
    <t>DBG物料</t>
    <phoneticPr fontId="5" type="noConversion"/>
  </si>
  <si>
    <t>NXE linux Version：nxe-232.1.132.8
brcm-lnvgy_fw_nic_nxe-232.1.132.8-8_linux_x86-64-cfc
FormID:000226
NXE windows Version：nxe-232.1.132.8
brcm-lnvgy_fw_nic_nxe-232.1.132.8-8-a_windows_x86-64-cfc
FormID:000279
NX1 Linux Version: nx1-230.0.3.1
brcm-lnvgy_fw_nic_nx1-230.0.3.1-2_linux_x86-64-cfc
FormID:000280
NX1 Windows Version: nx1-230.0.3.1
brcm-lnvgy_fw_nic_nx1-230.0.3.1-2-a_windows_x86-64-cfc
FormID:000281
#SPAR</t>
  </si>
  <si>
    <t xml:space="preserve"> NXE Version：232.0.155.7
brcm-lnvgy_dd_nic_nxe-232.0.155.7-254-a_windows_x86-64-cfc
FormID:000034
#SPAR
NX1 Version：nx1-221.0.6.0
brcm-lnvgy_dd_nic_nx1-221.0.6.0-4-a_windows_x86-64
#DRUM</t>
  </si>
  <si>
    <t>BMC 版本	6.1a.15	
UEFI 版本	kae154b-3.10	
FPGA 版本	2.4.0	
BP3 CPLD版本	3.4</t>
  </si>
  <si>
    <t>NXE Version：232.0.154.0
brcm-lnvgy_dd_nic_nxe-20250120-232-vc_vmware_x86-64-cfc
FormID:000026
#SPAR
NX1: inbox</t>
  </si>
  <si>
    <t>NXE Version：232.0.154.0
brcm-lnvgy_dd_nic_nxe-20250120-232-vc_vmware_x86-64-cfc
FormID:000026
#SPAR
NX1: inbox</t>
    <phoneticPr fontId="5" type="noConversion"/>
  </si>
  <si>
    <t xml:space="preserve"> NXE Version：nxe-1.10.3-232.0.155.5
brcm-lnvgy_dd_nic_nxe-1.10.3-232.0.155.5-2_rhel8_x86-64-cfc
FormID:000019
#SPAR
NX1 Version：nx1-3.139q
brcm-lnvgy_dd_nic_nx1-3.139q-8_rhel8_x86-64-cfc
FormID:000306
#SPAR</t>
  </si>
  <si>
    <t xml:space="preserve"> NXE Version：nxe-1.10.3-232.0.155.5
brcm-lnvgy_dd_nic_nxe-1.10.3-232.0.155.5-2_rhel9_x86-64-cfc
FormID:000024
#SPAR
NX1 Version：nx1-3.139q
brcm-lnvgy_dd_nic_nx1-3.139q-8_rhel9_x86-64-cfc
FormID:000188
#SPAR</t>
  </si>
  <si>
    <t>NXE Version：nxe-1.10.3-232.0.155.5
brcm-lnvgy_dd_nic_nxe-1.10.3-232.0.155.5-4_sles15_x86-64-cfc
FormID:000037
#SPAR
NX1 Version：nx1-3.139q
brcm-lnvgy_dd_nic_nx1-3.139q-8_sles15_x86-64-cfc
FormID:000036
#SPAR</t>
    <phoneticPr fontId="5" type="noConversion"/>
  </si>
  <si>
    <t>SN37A28327</t>
  </si>
  <si>
    <t>MCX623106AN-CDAT</t>
  </si>
  <si>
    <t>ThinkSystem Mellanox ConnectX-6 Dx 100GbE QSFP56 2-port PCIe Ethernet Adapter</t>
  </si>
  <si>
    <t>Version:22.43.2566
mlnx-lnvgy_fw_nic_c4c_xx.43.2566_1_linux_x86-64-cfc
FormID:000467
mlnx-lnvgy_fw_nic_c4c_xx.43.2566_1_windows_x86-64-cfc
FormID:000468
#SPAR</t>
  </si>
  <si>
    <t>Version:24.10-2.1.8
MLNX_OFED_LINUX-24.10-2.1.8.0-rhel8.10-x86_64-cfc
FormID:000287
#SPAR</t>
    <phoneticPr fontId="5" type="noConversion"/>
  </si>
  <si>
    <t>Version:24.10-2.1.8
MLNX_OFED_LINUX-24.10-2.1.8.0-rhel9.4-x86_64-cfc
FormID:000293
#SPAR</t>
    <phoneticPr fontId="5" type="noConversion"/>
  </si>
  <si>
    <t>inboxVersion:24.10-2.1.8
MLNX_OFED_LINUX-24.10-2.1.8.0-rhel9.5-x86_64-cfc
FormID:000303
#SPAR</t>
    <phoneticPr fontId="5" type="noConversion"/>
  </si>
  <si>
    <t>Version:24.10-2.1.8
MLNX_OFED_LINUX-24.10-2.1.8.0-sles15sp6-x86_64-cfc
FormID:000298
#SPAR</t>
    <phoneticPr fontId="5" type="noConversion"/>
  </si>
  <si>
    <t>Version:24.10-2.1.8
MLNX_OFED_LINUX-24.10-2.1.8.0-ubuntu22.04-x86_64-cfc
FormID:000300
#SPAR</t>
    <phoneticPr fontId="5" type="noConversion"/>
  </si>
  <si>
    <t>wave1</t>
    <phoneticPr fontId="5" type="noConversion"/>
  </si>
  <si>
    <t>NIC</t>
    <phoneticPr fontId="5" type="noConversion"/>
  </si>
  <si>
    <t>SN37A91440</t>
  </si>
  <si>
    <t>BCM957414A4141LC2</t>
  </si>
  <si>
    <t>ThinkSystem Broadcom 57414 10/25GbE SFP28 2-port PCIe Ethernet Adapter V2</t>
  </si>
  <si>
    <t>NXE linux Version：nxe-232.1.132.8
brcm-lnvgy_fw_nic_nxe-232.1.132.8-8_linux_x86-64-cfc
FormID:000226
NXE windows Version：nxe-232.1.132.8
brcm-lnvgy_fw_nic_nxe-232.1.132.8-8-a_windows_x86-64-cfc
FormID:000279
#SPAR</t>
  </si>
  <si>
    <t xml:space="preserve"> NXE Version：232.0.155.7
brcm-lnvgy_dd_nic_nxe-232.0.155.7-224-a_windows_x86-64-cfc
FormID:000033
#SPAR</t>
  </si>
  <si>
    <t>NXE Version：232.0.155.7
brcm-lnvgy_dd_nic_nxe-232.0.155.7-254-a_windows_x86-64-cfc
FormID:000034
#SPAR</t>
  </si>
  <si>
    <t>NXE Version：232.0.154.0
brcm-lnvgy_dd_nic_nxe-20250120-232-vc_vmware_x86-64-cfc
FormID:000026
#SPAR</t>
    <phoneticPr fontId="5" type="noConversion"/>
  </si>
  <si>
    <t xml:space="preserve"> NXE Version：nxe-1.10.3-232.0.155.5
brcm-lnvgy_dd_nic_nxe-1.10.3-232.0.155.5-2_rhel8_x86-64-cfc
FormID:000019
#SPAR</t>
  </si>
  <si>
    <t>BMC 版本	6.1a.12	
UEFI 版本	kae150e-3.06	
FPGA 版本	2.4.0	
BP3 CPLD版本	3.4</t>
  </si>
  <si>
    <t xml:space="preserve"> NXE Version：nxe-1.10.3-232.0.155.5
brcm-lnvgy_dd_nic_nxe-1.10.3-232.0.155.5-2_rhel9_x86-64-cfc
FormID:000024
#SPAR</t>
  </si>
  <si>
    <t>inbox</t>
  </si>
  <si>
    <t>BMC 版本	6.1a.13	
UEFI 版本	kae154a-3.10	
FPGA 版本	2.4.0	
BP3 CPLD版本	3.4</t>
  </si>
  <si>
    <t>NXE Version：nxe-1.10.3-232.0.155.5
brcm-lnvgy_dd_nic_nxe-1.10.3-232.0.155.5-4_sles15_x86-64-cfc
FormID:000037
#SPAR</t>
  </si>
  <si>
    <t>CFCSOL-21565</t>
  </si>
  <si>
    <t xml:space="preserve">NIC </t>
  </si>
  <si>
    <t>SN37A91129</t>
  </si>
  <si>
    <t>BCM957508-P2100L2</t>
  </si>
  <si>
    <t>ThinkSystem Broadcom 57508 100GbE QSFP56 2-port PCIe 4 Ethernet Adapter v2</t>
  </si>
  <si>
    <t>NXE Version：232.0.155.7
brcm-lnvgy_dd_nic_nxe-232.0.155.7-224-a_windows_x86-64-cfc
FormID:000033
#SPAR</t>
    <phoneticPr fontId="5" type="noConversion"/>
  </si>
  <si>
    <t>NXE Version：232.0.155.7
brcm-lnvgy_dd_nic_nxe-232.0.155.7-254-a_windows_x86-64-cfc
FormID:000034
#SPAR</t>
    <phoneticPr fontId="5" type="noConversion"/>
  </si>
  <si>
    <t xml:space="preserve"> NXE Version：nxe-1.10.3-232.0.155.5
brcm-lnvgy_dd_nic_nxe-1.10.3-232.0.155.5-2_rhel8_x86-64-cfc
FormID:000019
#SPAR</t>
    <phoneticPr fontId="5" type="noConversion"/>
  </si>
  <si>
    <t>NXE Version：nxe-1.10.3-232.0.155.5
brcm-lnvgy_dd_nic_nxe-1.10.3-232.0.155.5-2_rhel9_x86-64-cfc
FormID:000024
#SPAR</t>
  </si>
  <si>
    <t>SN37A97763</t>
  </si>
  <si>
    <t>Emulex 16Gb Gen6 FC Single-port HBA</t>
  </si>
  <si>
    <t>Emulex</t>
  </si>
  <si>
    <t>Version:lp.31-14.4.317.7
elx-lnvgy_fw_fc_lp.31-14.4.317.7-2_linux_x86-64
elx-lnvgy_fw_fc_lp.31-14.4.317.7-2-a_windows_x86-64
#DRUM</t>
  </si>
  <si>
    <t>BMC 版本	6.1a.12	
UEFI 版本	kae150e-3.06	
FPGA 版本	2.4.0	
BP1 CPLD版本	2.4</t>
  </si>
  <si>
    <t>Y</t>
    <phoneticPr fontId="5" type="noConversion"/>
  </si>
  <si>
    <t>CFCSOL-21272</t>
  </si>
  <si>
    <t>SN37A96506</t>
  </si>
  <si>
    <t>ThinkSystem Emulex LPe36002 64Gb 2-port PCIe Gen4 Fibre Channel Adapter</t>
  </si>
  <si>
    <t>Version:lp.35-14.4.317.10
elx-lnvgy_fw_fc_lp.35-14.4.317.10-2_linux_x86-64
elx-lnvgy_fw_fc_lp.35-14.4.317.10-2-a_windows_x86-64
#DRUM</t>
  </si>
  <si>
    <t>fail</t>
  </si>
  <si>
    <t>SN37A82180</t>
  </si>
  <si>
    <t>MM#983263</t>
  </si>
  <si>
    <t>Intel E810-XXVDA2 25GbE SFP28 2-port OCP 3.0 Ethernet Adapter</t>
  </si>
  <si>
    <t>Version:4.70 0x8001F7BA 1.3755.0
intc-lnvgy_fw_nic_net.e800.da2.ocp-4.70-1.3755.0-0_linux_x86-64-cfc
From ID:000204
intc-lnvgy_fw_nic_net.e800.da2.ocp-4.70-1.3755.0-0_windows_x86-64-cfc
From ID:000205
#SPAR</t>
  </si>
  <si>
    <t>Version:1.15.121.0
intc-lnvgy_dd_nic_net-30.0.1-0_windows_x86-64-cfc 
From ID:000329
#SPAR</t>
  </si>
  <si>
    <t>Version:1.15.302.0
intc-lnvgy_dd_nic_net-30.0.1-0_windows_x86-64-cfc 
From ID:000329
#SPAR</t>
    <phoneticPr fontId="5" type="noConversion"/>
  </si>
  <si>
    <t>Version:1.16.3
intc-lnvgy_dd_nic_net-30.0.1-0_rhel8_x86-64-cfc
From ID:000322
#SPAR</t>
    <phoneticPr fontId="5" type="noConversion"/>
  </si>
  <si>
    <t>Version:1.16.3
intc-lnvgy_dd_nic_net-30.0.1-2_rhel9_x86-64-cfc
From ID:000434
#SPAR</t>
  </si>
  <si>
    <t>Version:1.16.3
intc-lnvgy_dd_nic_net-30.0.1-0_sles15_x86-64-cfc
From ID:000325
#SPAR</t>
  </si>
  <si>
    <t>SN37A28438</t>
  </si>
  <si>
    <t>MM#944042</t>
  </si>
  <si>
    <t>Intel X710-DA2 PCIe 2x10Gb SFP+ Adapter</t>
  </si>
  <si>
    <t>Version:9.53 0x8000F938 1.3755.0
intc-lnvgy_fw_nic_net-9.53-3.70-1.3755.0-0_linux_x86-64-cfc
From ID:000212
intc-lnvgy_fw_nic_net-9.53-3.70-1.3755.0-0_windows_x86-64-cfc
From ID:000213
#SPAR</t>
  </si>
  <si>
    <t>Version:1.20.100.0
intc-lnvgy_dd_nic_net-30.0.1-0_windows_x86-64-cfc 
From ID:000329
#SPAR</t>
    <phoneticPr fontId="5" type="noConversion"/>
  </si>
  <si>
    <t>Version:2.27.8
intc-lnvgy_dd_nic_net-30.0.1-0_rhel8_x86-64-cfc
From ID:000322
#SPAR</t>
  </si>
  <si>
    <t>Version:2.27.8
intc-lnvgy_dd_nic_net-30.0.1-2_rhel9_x86-64-cfc
From ID:000434
#SPAR</t>
  </si>
  <si>
    <t>Version:2.27.8
intc-lnvgy_dd_nic_net-30.0.1-0_sles15_x86-64-cfc
From ID:000325
#SPAR</t>
  </si>
  <si>
    <t>SN37A28309</t>
  </si>
  <si>
    <t>BCM95719N1905LC</t>
  </si>
  <si>
    <t>ThinkSystem Broadcom 5719 1GbE RJ45 4-port OCP Ethernet Adapter</t>
  </si>
  <si>
    <t>NX1 Linux Version: nx1-230.0.3.1
brcm-lnvgy_fw_nic_nx1-230.0.3.1-2_linux_x86-64-cfc
FormID:000280
NX1 Windows Version: nx1-230.0.3.1
brcm-lnvgy_fw_nic_nx1-230.0.3.1-2-a_windows_x86-64-cfc
FormID:000281
#SPAR</t>
  </si>
  <si>
    <t>FPGA 版本 2.4.0</t>
  </si>
  <si>
    <t>NX1 Version：nx1-3.139q
brcm-lnvgy_dd_nic_nx1-3.139q-8_rhel8_x86-64-cfc
FormID:000306
#SPAR</t>
  </si>
  <si>
    <t xml:space="preserve">NX1 Version：nx1-3.139q
brcm-lnvgy_dd_nic_nx1-3.139q-8_rhel9_x86-64-cfc
FormID:000188
#SPAR </t>
  </si>
  <si>
    <t>NX1 Version：nx1-3.139q
brcm-lnvgy_dd_nic_nx1-3.139q-8_sles15_x86-64-cfc
FormID:000036
#SPAR</t>
  </si>
  <si>
    <t>SN37A28377</t>
  </si>
  <si>
    <t>Intel X710-DA4 PCIe 4x10Gb SFP+ Adapter</t>
  </si>
  <si>
    <t>Version:9.53 0x8000F8DF 1.3755.0
intc-lnvgy_fw_nic_net-9.53-3.70-1.3755.0-0_linux_x86-64-cfc
From ID:000212
intc-lnvgy_fw_nic_net-9.53-3.70-1.3755.0-0_windows_x86-64-cfc
From ID:000213
#SPAR</t>
    <phoneticPr fontId="5" type="noConversion"/>
  </si>
  <si>
    <t>Version:2.27.8
intc-lnvgy_dd_nic_net-30.0.1-0_rhel8_x86-64-cfc
From ID:000322
#SPAR</t>
    <phoneticPr fontId="5" type="noConversion"/>
  </si>
  <si>
    <t>Version:2.27.8
intc-lnvgy_dd_nic_net-30.0.1-2_rhel9_x86-64-cfc
From ID:000434
#SPAR</t>
    <phoneticPr fontId="0" type="noConversion"/>
  </si>
  <si>
    <t>Version:2.27.8
intc-lnvgy_dd_nic_net-30.0.1-0_sles15_x86-64-cfc
From ID:000325
#SPAR</t>
    <phoneticPr fontId="5" type="noConversion"/>
  </si>
  <si>
    <t>SN37B04056</t>
  </si>
  <si>
    <t>BCM957504-P425L</t>
  </si>
  <si>
    <t>ThinkSystem Broadcom 57504 10/25GbE SFP28 4-port PCIe Ethernet Adapter</t>
  </si>
  <si>
    <t>NXE linux Version：nxe-232.1.132.8
brcm-lnvgy_fw_nic_nxe-232.1.132.8-8_linux_x86-64-cfc
FormID:000226
NXE windows Version：nxe-232.1.132.8
brcm-lnvgy_fw_nic_nxe-232.1.132.8-8-a_windows_x86-64-cfc
FormID:000279
#SPAR</t>
    <phoneticPr fontId="5" type="noConversion"/>
  </si>
  <si>
    <t xml:space="preserve"> NXE Version：232.0.155.7
brcm-lnvgy_dd_nic_nxe-232.0.155.7-224-a_windows_x86-64-cfc
FormID:000033
#SPAR</t>
    <phoneticPr fontId="5" type="noConversion"/>
  </si>
  <si>
    <t xml:space="preserve"> NXE Version：232.0.155.7
brcm-lnvgy_dd_nic_nxe-232.0.155.7-254-a_windows_x86-64-cfc
FormID:000034
#SPAR</t>
    <phoneticPr fontId="5" type="noConversion"/>
  </si>
  <si>
    <t>NXE Version：232.0.154.0
brcm-lnvgy_dd_nic_nxe-20250120-232-vc_vmware_x86-64-cfc
FormID:000026
#SPAR</t>
  </si>
  <si>
    <t xml:space="preserve"> NXE Version：nxe-1.10.3-232.0.155.5
brcm-lnvgy_dd_nic_nxe-1.10.3-232.0.155.5-2_rhel9_x86-64-cfc
FormID:000024
#SPAR</t>
    <phoneticPr fontId="5" type="noConversion"/>
  </si>
  <si>
    <t>NXE Version：nxe-1.10.3-232.0.155.5
brcm-lnvgy_dd_nic_nxe-1.10.3-232.0.155.5-4_sles15_x86-64-cfc
FormID:000037
#SPAR</t>
    <phoneticPr fontId="5" type="noConversion"/>
  </si>
  <si>
    <t>BMC 版本</t>
  </si>
  <si>
    <t>6.1a.15</t>
  </si>
  <si>
    <t>SN37A28449</t>
  </si>
  <si>
    <t>MM#979132</t>
  </si>
  <si>
    <t>Intel I350 1GbE RJ45 4-port OCP Ethernet Adapter</t>
  </si>
  <si>
    <t>Version:1.63, 0x800010c0, 1.3755.0
intc-lnvgy_fw_nic_net-9.53-3.70-1.3755.0-0_linux_x86-64-cfc
From ID:000212
intc-lnvgy_fw_nic_net-9.53-3.70-1.3755.0-0_windows_x86-64-cfc
From ID:000213
#SPAR</t>
  </si>
  <si>
    <t>Version:5.18.7
intc-lnvgy_dd_nic_net-30.0.1-0_rhel8_x86-64-cfc
From ID:000322
#SPAR</t>
  </si>
  <si>
    <t>Version:5.18.7
intc-lnvgy_dd_nic_net-30.0.1-0_sles15_x86-64-cfc
From ID:000325
#SPAR</t>
    <phoneticPr fontId="5" type="noConversion"/>
  </si>
  <si>
    <t>UEFI 版本</t>
  </si>
  <si>
    <t>kae154b-3.10</t>
  </si>
  <si>
    <t>SN37A28455</t>
  </si>
  <si>
    <t>QLE2772-SR-AK</t>
  </si>
  <si>
    <t>QLogic QLE2772 32Gb 2-Port PCIe Fibre Channel Adapter</t>
  </si>
  <si>
    <t>Qlogic</t>
    <phoneticPr fontId="5" type="noConversion"/>
  </si>
  <si>
    <t>Version:
Flash Image Version 10.09.05（ FC Firmware v9.15.03）
qlogic_ql28xx_img10.09.05_b1_9.15.03
From ID:000332
#SPAR</t>
  </si>
  <si>
    <t>version: 9.4.11.20
q23wx64W16Storv9.4.11.20_WHQL_1152921505698569471-cfc
From ID: 000409
#SPAR</t>
    <phoneticPr fontId="0" type="noConversion"/>
  </si>
  <si>
    <t>version: 9.4.11.20
q23wx64W16Storv9.4.11.20_WHQL_1152921505698569471-cfc
From ID: 000409
#SPAR</t>
  </si>
  <si>
    <t>version:10.02.13.00
kmod-qlgc-qla2xxx-10.02.13.00_k-1.rhel8u10.x86_64-cfc.rpm
From ID:000333
#SPAR</t>
    <phoneticPr fontId="5" type="noConversion"/>
  </si>
  <si>
    <t>version:10.02.13.00
kmod-qlgc-qla2xxx-10.02.13.00_k-1.rhel9u4.x86_64-cfc.rpm
From ID:000334
#SPAR</t>
  </si>
  <si>
    <t>BMC 版本	6.1b.00	
UEFI 版本	kae154h-3.10	
FPGA 版本	2.8.0	
BP2 CPLD版本	3.4	
BP3 CPLD版本	3.4</t>
  </si>
  <si>
    <t>version:10.02.13.00
qlgc-qla2xxx-kmp-default-10.02.13.00_k_k6.4.0_150600.21-1.sles15sp6.x86_64-cfc.rpm
From ID:000336
#SPAR</t>
    <phoneticPr fontId="5" type="noConversion"/>
  </si>
  <si>
    <t>2.4.0</t>
  </si>
  <si>
    <t>SN37A28452</t>
  </si>
  <si>
    <t>MM# 9999MK</t>
  </si>
  <si>
    <t>Intel X710-T2L 10GBASE-T 2-port OCP Ethernet Adapter</t>
  </si>
  <si>
    <t>Version:9.53 0x8000F909 1.3755.0
intc-lnvgy_fw_nic_net-9.53-3.70-1.3755.0-0_linux_x86-64-cfc
From ID:000212
intc-lnvgy_fw_nic_net-9.53-3.70-1.3755.0-0_windows_x86-64-cfc
From ID:000213
#SPAR</t>
  </si>
  <si>
    <t>Version:1.20.100.0
intc-lnvgy_dd_nic_net-30.0.1-0_windows_x86-64-cfc 
From ID:000329
#SPAR</t>
  </si>
  <si>
    <t>BP3 CPLD版本</t>
  </si>
  <si>
    <t>NIC
DDlist V1.4 Sheet页中测试</t>
  </si>
  <si>
    <t>SN37A28456</t>
  </si>
  <si>
    <t>MM#940263</t>
  </si>
  <si>
    <t>Intel X550-T2 Dual Port 10g BASE-T Adapter</t>
  </si>
  <si>
    <t>Version:0x8001F7B9, 1.3755.0
intc-lnvgy_fw_nic_net-9.53-3.70-1.3755.0-0_linux_x86-64-cfc
From ID:000212
intc-lnvgy_fw_nic_net-9.53-3.70-1.3755.0-0_windows_x86-64-cfc
From ID:000213
#SPAR</t>
  </si>
  <si>
    <t>Version:4.1.254.0
intc-lnvgy_dd_nic_net-30.0.1-0_windows_x86-64-cfc 
From ID:000329
#SPAR</t>
    <phoneticPr fontId="5" type="noConversion"/>
  </si>
  <si>
    <t>Version:4.2.6.0
intc-lnvgy_dd_nic_net-30.0.1-0_windows_x86-64-cfc 
From ID:000329
#SPAR</t>
    <phoneticPr fontId="5" type="noConversion"/>
  </si>
  <si>
    <t>Version:6.0.6
intc-lnvgy_dd_nic_net-30.0.1-0_rhel8_x86-64-cfc
From ID:000322
#SPAR</t>
    <phoneticPr fontId="5" type="noConversion"/>
  </si>
  <si>
    <t>Version:6.0.6
intc-lnvgy_dd_nic_net-30.0.1-2_rhel9_x86-64-cfc
From ID:000434
#SPAR</t>
    <phoneticPr fontId="0" type="noConversion"/>
  </si>
  <si>
    <t xml:space="preserve">FAIL </t>
  </si>
  <si>
    <t>CFCSOL-21314</t>
  </si>
  <si>
    <t>Version:6.0.6
intc-lnvgy_dd_nic_net-30.0.1-0_sles15_x86-64-cfc
From ID:000325
#SPAR</t>
    <phoneticPr fontId="5" type="noConversion"/>
  </si>
  <si>
    <t>SN37A28379</t>
  </si>
  <si>
    <t>QLE2692-SR-BK</t>
  </si>
  <si>
    <t>QLogic 16Gb QLE2692 Enhanced Gen5 FC Dual-port HBA -IPDC</t>
  </si>
  <si>
    <t>Qlogic</t>
  </si>
  <si>
    <t>Version:
Flash Image Version 10.04.04（ FC Firmware v9.15.01）
ql268x_img10.04.04_b1_9.15.01-cfc.zip
From ID:000338
#SPAR</t>
  </si>
  <si>
    <t>version:10.02.13.00
kmod-qlgc-qla2xxx-10.02.13.00_k-1.rhel9u4.x86_64-cfc.rpm
From ID:000334
#SPAR</t>
    <phoneticPr fontId="5" type="noConversion"/>
  </si>
  <si>
    <t>version:10.02.13.00
qlgc-qla2xxx-kmp-default-10.02.13.00_k_k6.4.0_150600.21-1.sles15sp6.x86_64-cfc.rpm
From ID:000336
#SPAR</t>
  </si>
  <si>
    <t>SN37B04058</t>
  </si>
  <si>
    <t>BCM957504-N425L</t>
  </si>
  <si>
    <t>ThinkSystem Broadcom 57504 10/25GbE SFP28 4-port OCP Ethernet Adapter</t>
  </si>
  <si>
    <t>NXE Version：nxe-1.10.3-232.0.155.5
brcm-lnvgy_dd_nic_nxe-1.10.3-232.0.155.5-2_rhel8_x86-64-cfc
FormID:000019
#SPAR</t>
    <phoneticPr fontId="5" type="noConversion"/>
  </si>
  <si>
    <t>Iinbox</t>
    <phoneticPr fontId="5" type="noConversion"/>
  </si>
  <si>
    <t>SN37A82175</t>
  </si>
  <si>
    <t>MM#99A454</t>
  </si>
  <si>
    <t>Intel E810-CQDA2 2x100Gb QSFP28 PCIe4.0 Ethernet Adapter</t>
  </si>
  <si>
    <t>Version:4.70 0x8000184A 1.3755.0
intc-lnvgy_fw_nic_net.e800.cqda2.pcie-4.70-1.3755.0-0_linux_x86-64-cfc
From ID:000202
intc-lnvgy_fw_nic_net.e800.cqda2.pcie-4.70-1.3755.0-0_windows_x86-64-cfc
From ID:000203
#SPAR</t>
  </si>
  <si>
    <t>Version:1.16.3
intc-lnvgy_dd_nic_net-30.0.1-0_rhel8_x86-64-cfc
From ID:000322
#SPAR</t>
  </si>
  <si>
    <t>SN37A97761</t>
  </si>
  <si>
    <t>ThinkSystem Emulex LPe35000 32Gb 1-port PCIe Fibre Channel Adapter V2</t>
  </si>
  <si>
    <t>SN37A28513</t>
  </si>
  <si>
    <t>MCX623436AN-CDAB</t>
  </si>
  <si>
    <t>Mellanox MCX623436AN-CDAB OCP3.0 2x100G QSFP56 NIC -IPDC</t>
  </si>
  <si>
    <t>Version:22.43.2566
mlnx-lnvgy_fw_nic_c4c_xx.43.2566_2_linux_x86-64-cfc
FormID:000469
mlnx-lnvgy_fw_nic_c4c_xx.43.2566_2_windows_x86-64-cfc
FormID:000470
#SPAR</t>
    <phoneticPr fontId="0" type="noConversion"/>
  </si>
  <si>
    <t>Version:24.10-2.1.8
MLNX_OFED_LINUX-24.10-2.1.8.0-rhel9.4-x86_64-cfc
FormID:000293
#SPAR</t>
  </si>
  <si>
    <t>Version:24.10-2.1.8
MLNX_OFED_LINUX-24.10-2.1.8.0-ubuntu24.04-x86_64-cfc
FormID:000301
#SPAR</t>
    <phoneticPr fontId="5" type="noConversion"/>
  </si>
  <si>
    <t>4.30.1-113
mft-4.30.1-113-x86_64-cfc
FormID:000307
#SPAR</t>
  </si>
  <si>
    <t>SN37B23757</t>
  </si>
  <si>
    <t>9000000252</t>
  </si>
  <si>
    <t>SiNEAD I350-C4 9000000252 PCIe 1Gb 4-Port RJ45 Ethernet Adapter</t>
  </si>
  <si>
    <t xml:space="preserve">SiNEAD </t>
  </si>
  <si>
    <t>Version:1.63, 0x800009fb, 1.2074.0
FW_Sinead_I350_C4_PCIE_1.63_new
#DDMS</t>
  </si>
  <si>
    <t>SN37C03229</t>
  </si>
  <si>
    <t>CFC</t>
    <phoneticPr fontId="5" type="noConversion"/>
  </si>
  <si>
    <t>3SNIC 3SC10-ConnectX-4 PCIe 10/25Gb 2-Port SFP28 Ethernet Adapter</t>
  </si>
  <si>
    <t xml:space="preserve">3SNIC </t>
    <phoneticPr fontId="5" type="noConversion"/>
  </si>
  <si>
    <t>Version:14.32.1010
量产版本，无需更新</t>
    <phoneticPr fontId="5" type="noConversion"/>
  </si>
  <si>
    <t>SN37B87407</t>
  </si>
  <si>
    <t>BCM957608-P220LQF00</t>
    <phoneticPr fontId="5" type="noConversion"/>
  </si>
  <si>
    <t>ThinkSystem Broadcom 57608 2x200/1x400GbE QSFP112 PCIe Ethernet Adapter</t>
  </si>
  <si>
    <t>Broadcom</t>
    <phoneticPr fontId="5" type="noConversion"/>
  </si>
  <si>
    <t xml:space="preserve"> NXE Version：232.0.155.7
brcm-lnvgy_dd_nic_nxe-232.0.155.7-254-a_windows_x86-64-cfc
FormID:000034
#SPA</t>
    <phoneticPr fontId="5" type="noConversion"/>
  </si>
  <si>
    <t>SN37A28527</t>
  </si>
  <si>
    <t>BCM957508-N2100G</t>
  </si>
  <si>
    <t>Broadcom 2X100G BCM957508-N2100G QSFP28 OCP3.0 NIC -CSP</t>
  </si>
  <si>
    <t>Version：232.1.132.8
nvmUpgrade_232.1.132.8_GENERIC_V2_20250122
FormID:000066
#SPAR</t>
  </si>
  <si>
    <t>SN37B92112</t>
  </si>
  <si>
    <t>GP</t>
    <phoneticPr fontId="5" type="noConversion"/>
  </si>
  <si>
    <t>ThinkSystem QLogic QLE2872 64Gb 2-Port PCIe Fibre Channel Adapter(Generic FW)</t>
  </si>
  <si>
    <t>version:10.02.13.00
kmod-qlgc-qla2xxx-10.02.13.00_k-1.rhel8u10.x86_64-cfc.rpm
From ID:000333
#SPAR</t>
  </si>
  <si>
    <t>version:10.02.13.00
kmod-qlgc-qla2xxx-10.02.13.00_k-1.rhel9u5.x86_64-cfc.rpm
From ID:000335
#SPAR</t>
  </si>
  <si>
    <t>SN37B94233</t>
  </si>
  <si>
    <t>ThinkSystem Nvidia ConnectX-7 10/25GbE SFP28 4-Port PCIe Ethernet Adapter(Generic)</t>
  </si>
  <si>
    <t>Version:28.43.2566
mlnx-lnvgy_fw_nic_c4c_xx.43.2566_1_linux_x86-64-cfc
FormID:000467
mlnx-lnvgy_fw_nic_c4c_xx.43.2566_1_windows_x86-64-cfc
FormID:000468
#SPAR</t>
  </si>
  <si>
    <t>Raid</t>
  </si>
  <si>
    <t>SR17B00181</t>
  </si>
  <si>
    <t>03-50134-06</t>
  </si>
  <si>
    <t>ThinkSystem RAID 540-16i PCIe Gen4 12Gb Adapter</t>
  </si>
  <si>
    <t>Version：52.32.0-5991
lnvgy_fw_raid_mr3.5.540-52.32.0-5991-0_linux_x86-64-cfc
Form ID:000309
lnvgy_fw_raid_mr3.5.540-52.32.0-5991-0-a_windows_x86-64-cfc
Form ID:000310
version:1.31
lnvgy_fw_psoc-1.31_x86-64-cfc
FormID:000235
#SPAR
(先刷FW再刷PSOC)</t>
  </si>
  <si>
    <t>Version：7.732.03.00
lnvgy_dd_raid_mr3.5-7.732.03.00-6_windows_x86-64-cfc
FormID:000239
#SPAR</t>
    <phoneticPr fontId="5" type="noConversion"/>
  </si>
  <si>
    <t>Version：7.732.03.00
lnvgy_dd_raid_mr3.5-7.732.03.00-8_windows_x86-64-cfc
FormID:000240
#SPAR</t>
  </si>
  <si>
    <t>Version：7.732.03.00
lnvgy_dd_raid_mr3.x40-20250227-vc_vmware_x86-64-cfc
FormID:000242
#SPAR</t>
  </si>
  <si>
    <t>Version：07.732.03.00
lnvgy_dd_raid_mr3-07.732.03.00-0_rhel8_x86-64-cfc
FormID:000352
#SPAR</t>
    <phoneticPr fontId="5" type="noConversion"/>
  </si>
  <si>
    <t>Version：07.732.03.00
lnvgy_dd_raid_mr3-07.732.03.00-0_rhel9_x86-64-cfc
FormID:000241
#SPAR</t>
  </si>
  <si>
    <t>Version：07.732.03.00
lnvgy_dd_raid_mr3-07.732.03.00-0_sles15_x86-64-cfc
FormID:000243
#SPAR</t>
  </si>
  <si>
    <r>
      <rPr>
        <sz val="11"/>
        <color rgb="FF000000"/>
        <rFont val="Calibri"/>
      </rPr>
      <t xml:space="preserve">Version:008.012.007.000
lnvgy_utl_raid_mr3.lsa-008.012.007.000-0_windows_x86-64-cfc
FormID:000249
lnvgy_utl_raid_mr3.lsa-008.012.007.000-0_vmware_x86-64-cfc
FormID:000250
</t>
    </r>
    <r>
      <rPr>
        <sz val="11"/>
        <color rgb="FFFF0000"/>
        <rFont val="Calibri"/>
      </rPr>
      <t xml:space="preserve">lnvgy_utl_raid_mr3.lsa-008.012.007.000-2_linux_x86-64-cfc
FormID:000411
</t>
    </r>
    <r>
      <rPr>
        <sz val="11"/>
        <color rgb="FF000000"/>
        <rFont val="Calibri"/>
      </rPr>
      <t>Version:007.3205.0000.0000
lnvgy_utl_raid_mr3.storcli-007.3205.0000.0000-0_windows_x86-64-cfc
FormID:000252
lnvgy_utl_raid_mr3.storcli-007.3205.0000.0000-0_vmware_x86-64-cfc
FormID:000253
lnvgy_utl_raid_mr3.storcli-007.3205.0000.0000-4_linux_x86-64-cfc
FormID:000380
#SPAR</t>
    </r>
  </si>
  <si>
    <t>SR17B09192</t>
  </si>
  <si>
    <t>03-50077-32</t>
  </si>
  <si>
    <t>ThinkSystem RAID 940-16i 4GB Flash PCIe Gen4 12Gb Adapter</t>
  </si>
  <si>
    <t>Version:52.32.0-5990
lnvgy_fw_raid_mr3.5.940-52.32.0-5990-0-a_windows_x86-64-cfc
FormID:000260
lnvgy_fw_raid_mr3.5.940-52.32.0-5990-0_linux_x86-64-cfc
FormID:000259
version:1.31
lnvgy_fw_psoc-1.31_x86-64-cfc
FormID:000235
#SPAR
(先刷FW再刷PSOC)</t>
  </si>
  <si>
    <t>Version：07.732.03.00
lnvgy_dd_raid_mr3-07.732.03.00-0_rhel8_x86-64-cfc
FormID:000352
#SPAR</t>
  </si>
  <si>
    <t>Version：07.732.03.00
lnvgy_dd_raid_mr3-07.732.03.00-0_sles15_x86-64-cfc
FormID:000243
#SPA</t>
  </si>
  <si>
    <t>SN37B06010</t>
  </si>
  <si>
    <t>MCX755106AS-HEAT</t>
  </si>
  <si>
    <t>ThinkSystem NVIDIA ConnectX-7 NDR200/200GbE QSFP112 2-port PCIe Gen5 x16 InfiniBand Adapter</t>
  </si>
  <si>
    <t>SR17A55063</t>
  </si>
  <si>
    <t>03-50137-01 (prod)</t>
  </si>
  <si>
    <t>Broadcom 9562-8i 4G OCP3.0 PCIe gen4 RAID card</t>
  </si>
  <si>
    <t>Version：52.31.0-5764
lnvgy_fw_raid_mr3.5.9562-52.31.0-5764_linux_x86-64-cfc
FormID:000068
lnvgy_fw_raid_mr3.5.9562-52.31.0-5764_windows_x86-64-cfc
FormID:000069
lnvgy_nv_raid_ocp9562_enable-nvdata-cfc
FormID:000131
#SPAR
version:1.31
lnvgy_fw_psoc-1.31_x86-64-cfc
FormID:000235
#SPAR
(先刷FW再刷enable-nvdata[FormID:000131],最后刷PSOC)</t>
  </si>
  <si>
    <r>
      <t xml:space="preserve">Version:008.012.007.000
lnvgy_utl_raid_mr3.lsa-008.012.007.000-0_windows_x86-64-cfc
FormID:000249
lnvgy_utl_raid_mr3.lsa-008.012.007.000-0_vmware_x86-64-cfc
FormID:000250
</t>
    </r>
    <r>
      <rPr>
        <sz val="11"/>
        <color rgb="FFFF0000"/>
        <rFont val="Calibri"/>
        <family val="2"/>
      </rPr>
      <t xml:space="preserve">lnvgy_utl_raid_mr3.lsa-008.012.007.000-2_linux_x86-64-cfc
FormID:000411
</t>
    </r>
    <r>
      <rPr>
        <sz val="11"/>
        <color theme="1"/>
        <rFont val="Calibri"/>
        <family val="2"/>
      </rPr>
      <t>Version:007.3205.0000.0000
lnvgy_utl_raid_mr3.storcli-007.3205.0000.0000-0_windows_x86-64-cfc
FormID:000252
lnvgy_utl_raid_mr3.storcli-007.3205.0000.0000-0_vmware_x86-64-cfc
FormID:000253
lnvgy_utl_raid_mr3.storcli-007.3205.0000.0000-4_linux_x86-64-cfc
FormID:000380
#SPAR</t>
    </r>
  </si>
  <si>
    <t>SR17B09242</t>
  </si>
  <si>
    <t>03-50077-20</t>
  </si>
  <si>
    <t>ThinkSystem 440-16i SAS/SATA PCIe Gen4 12Gb HBA</t>
  </si>
  <si>
    <t>Version：33.125.07.00
lnvgy_fw_storehba_mpt3.5.440-33.125.07.00-0_linux_x86-64-cfc
FormID:000237
lnvgy_fw_storehba_mpt3.5.440-33.125.07.00-0-a_windows_x86-64-cfc
FormID:000238
#SPAR
version:1.31
lnvgy_fw_psoc-1.31_x86-64-cfc
FormID:000235
#SPAR
(先刷FW再刷PSOC)</t>
  </si>
  <si>
    <t>Version：2.61.74.00
lnvgy_dd_storehba_mpt3.5-2.61.74.00-6_windows_x86-64-cfc
FormID:000244
#SPAR</t>
    <phoneticPr fontId="5" type="noConversion"/>
  </si>
  <si>
    <t>Version：2.61.74.00
lnvgy_dd_storehba_mpt3.5-2.61.74.00-8_windows_x86-64-cfc
FormID:000245
#SPAR</t>
  </si>
  <si>
    <t>Version：33.00.00.00
lnvgy_dd_storehba_mpt3.5.x40-20250227-vc_vmware_x86-64-cfc
FormID:000246
#SPAR</t>
    <phoneticPr fontId="5" type="noConversion"/>
  </si>
  <si>
    <t>Version：52.00.07.00
lnvgy_dd_storehba_mpt3-52.00.07.00-0_rhel8_x86-64-cfc
FormID000353
#SPAR</t>
  </si>
  <si>
    <t>Version：52.00.07.00
lnvgy_dd_storehba_mpt3-52.00.07.00-0_rhel9_x86-64-cfc
FormID:000247
#SPAR</t>
  </si>
  <si>
    <t>Version：52.00.07.00
lnvgy_dd_storehba_mpt3-52.00.07.00-0_sles15_x86-64-cfc
FormID:000248
#SPAR</t>
    <phoneticPr fontId="5" type="noConversion"/>
  </si>
  <si>
    <t>SR17A32420</t>
  </si>
  <si>
    <t>ThinkSystem 440-16e SAS/SATA PCIe Gen4 12Gb HBA</t>
  </si>
  <si>
    <t>Version：2.61.74.00
lnvgy_dd_storehba_mpt3.5-2.61.74.00-8_windows_x86-64-cfc
FormID:000245
#SPAR</t>
    <phoneticPr fontId="5" type="noConversion"/>
  </si>
  <si>
    <t>Version：52.00.07.00
lnvgy_dd_storehba_mpt3-52.00.07.00-0_rhel8_x86-64-cfc
FormID000353
#SPAR</t>
    <phoneticPr fontId="5" type="noConversion"/>
  </si>
  <si>
    <t>Version：52.00.07.00
lnvgy_dd_storehba_mpt3-52.00.07.00-0_rhel9_x86-64-cfc
FormID:000247
#SPAR</t>
    <phoneticPr fontId="5" type="noConversion"/>
  </si>
  <si>
    <t>SR17B82564</t>
  </si>
  <si>
    <t>ThinkSystem M.2 RAID B545i-2i SATA/NVMe Enablement Kit</t>
  </si>
  <si>
    <t>LCFC</t>
    <phoneticPr fontId="5" type="noConversion"/>
  </si>
  <si>
    <t>替换料号92959</t>
  </si>
  <si>
    <t>Version:52.32.0-5988
lnvgy_fw_raid_mr3.5.b545-52.32.0-5988-0_linux_x86-64-cfc
FormID:000231
lnvgy_fw_raid_mr3.5.b545-52.32.0-5988-0_windows_x86-64-cfc
FormID: 000232
#SPAR
Version:7
lnvgy_fw_psoc_fwid186_07_anyos_noarch-cfc
FormID: 000067
#SPAR</t>
  </si>
  <si>
    <t>Version：7.732.03.00
lnvgy_dd_raid_mr3.5-7.732.03.00-8_windows_x86-64-cfc
FormID:000240
#SPAR</t>
    <phoneticPr fontId="5" type="noConversion"/>
  </si>
  <si>
    <t>PSOC刷新失败https://jira1.labs.lenovo.com/browse/CFCSOL-20861</t>
  </si>
  <si>
    <t>BMC 版本	6.1a.14	
UEFI 版本	kae154b-3.10	
FPGA 版本	2.4.0	
BP3 CPLD版本	3.4
PSOC 刷新失败</t>
  </si>
  <si>
    <t>SR17B84772</t>
  </si>
  <si>
    <t>45C28FM1A00</t>
    <phoneticPr fontId="5" type="noConversion"/>
  </si>
  <si>
    <t>ThinkSystem RAID 9350-8i 2GB Flash PCIe 12Gb Adapter</t>
  </si>
  <si>
    <t>microchip</t>
    <phoneticPr fontId="5" type="noConversion"/>
  </si>
  <si>
    <t>无库存</t>
  </si>
  <si>
    <t>Version:7.60
lnvgy_fw_storage-adapter_smartpqi.350-7.60-0_linux_x86-64-cfc
FormID:000447
lnvgy_fw_storage-adapter_smartpqi.350-7.60-0_windows_x86-64-cfc
FormID:000448
#SPAR</t>
  </si>
  <si>
    <t xml:space="preserve">Version: 1016.18.0.1014
lnvgy_dd_storage-adapter_smartpqi-1016.18.0.1014-2_windows_x86-64-cfc
FormID:	000446
#SPAR
</t>
  </si>
  <si>
    <t>Version:4856.0.105
lnvgy_dd_storage-adapter_smartpqi-20250423-vc_vmware_x86-64-cfc
FormID:000458
#SPAR</t>
  </si>
  <si>
    <t xml:space="preserve">Version: 2.1.34-035
lnvgy_dd_storage-adapter_smartpqi-2.1.34-035-0_rhel8_x86-64-cfc
FormID:	000442
#SPAR
</t>
    <phoneticPr fontId="0" type="noConversion"/>
  </si>
  <si>
    <t xml:space="preserve">Version: 2.1.34-035
lnvgy_dd_storage-adapter_smartpqi-2.1.34-035-0_rhel8_x86-64-cfc
FormID:	000442
#SPAR
</t>
  </si>
  <si>
    <t>Pass</t>
  </si>
  <si>
    <t xml:space="preserve">Version: 2.1.34-035
lnvgy_dd_storage-adapter_smartpqi-2.1.34-035-0_sles15_x86-64-cfc
FormID:	000445
#SPAR
</t>
    <phoneticPr fontId="0" type="noConversion"/>
  </si>
  <si>
    <t>Version:4.26.00.27449
lnvgy_utl_storage-adapter_smartpqi.storman-4.26.00.27449-0_linux_x86-64-cfc
FormID:000455
lnvgy_utl_storage-adapter_smartpqi.storman-4.26.00.27449-0_windows_x86-64-cfc
FormID:000454
lnvgy_utl_storage-adapter_smartpqi.storman-4.26.00.27449-0_vmware_x86-64-cfc
FormID:000453
Version:4.26.00.27449
lnvgy_utl_storage-adapter_smartpqi.arcconf-4.26.00.27449-0_windows_x86-64-cfc
FormID:000452
lnvgy_utl_storage-adapter_smartpqi.arcconf-4.26.00.27449-0_vmware_x86-64-cfc
FormID:000451
lnvgy_utl_storage-adapter_smartpqi.arcconf-4.26.00.27449-0_linux_x86-64-cfc
FormID:000450
#SPAR</t>
  </si>
  <si>
    <t>SR17A85785</t>
  </si>
  <si>
    <t>45C28FM3A00</t>
  </si>
  <si>
    <t>ThinkSystem 4350-8i SAS/SATA 12Gb HBA</t>
  </si>
  <si>
    <t>microchip</t>
  </si>
  <si>
    <t xml:space="preserve">Version: 2.1.34-035
lnvgy_dd_storage-adapter_smartpqi-2.1.34-035-0_rhel9_x86-64-cfc
FormID:	000443
#SPAR
</t>
  </si>
  <si>
    <t>SR17A85787</t>
  </si>
  <si>
    <t>45C28FM2A00</t>
  </si>
  <si>
    <t>ThinkSystem RAID 5350-8i PCIe 12Gb Adapter</t>
  </si>
  <si>
    <t>Version:7.60
lnvgy_fw_storage-adapter_smartpqi.350-7.60-0_linux_x86-64-cfc
FormID:000447
lnvgy_fw_storage-adapter_smartpqi.350-7.60-0_windows_x86-64-cfc
FormID:000448
#SPAR</t>
    <phoneticPr fontId="0" type="noConversion"/>
  </si>
  <si>
    <t xml:space="preserve">Version: 1016.18.0.1014
lnvgy_dd_storage-adapter_smartpqi-1016.18.0.1014-2_windows_x86-64-cfc
FormID:	000446
#SPAR
</t>
    <phoneticPr fontId="0" type="noConversion"/>
  </si>
  <si>
    <t>Version:4856.0.105
lnvgy_dd_storage-adapter_smartpqi-20250423-vc_vmware_x86-64-cfc
FormID:000458
#SPAR</t>
    <phoneticPr fontId="0" type="noConversion"/>
  </si>
  <si>
    <t>SN37C13910</t>
  </si>
  <si>
    <t>Netswift FF5025-DDATACXX PCIe 25Gb 2-Port SFP+ Ethernet Adapter</t>
  </si>
  <si>
    <t>Netswift</t>
  </si>
  <si>
    <t>Version:0x30002052
Netswift-Invgy_fw_nic_FF5025-0x30002052_linux_x86-64-cfc
From ID:000363
#SPAR</t>
  </si>
  <si>
    <t>Version:1.0.2
Wx-txgbe_1.0.2-1OEM.700.1.0.15843807_24619465-package-cfc
From ID:000364
#SPAR</t>
    <phoneticPr fontId="5" type="noConversion"/>
  </si>
  <si>
    <t>version:2.1.0
Swift-lnvgy_dd_nic_txgbe-2.1.0_linux_x86-64-cfc
From ID:000350
#SPAR</t>
    <phoneticPr fontId="5" type="noConversion"/>
  </si>
  <si>
    <t>Version:2.1.1rc1
NetSwift-lnvgy_dd_nic_txgbe-2.1.1rc1_linux_x86-64-cfc
From ID:000500
#SPAR</t>
    <phoneticPr fontId="0" type="noConversion"/>
  </si>
  <si>
    <t>version:2.1.0
Swift-lnvgy_dd_nic_txgbe-2.1.0_linux_x86-64-cfc
From ID:000350
#SPAR</t>
  </si>
  <si>
    <t>Version:2.1.1rc1
NetSwift-lnvgy_dd_nic_txgbe-2.1.1rc1_linux_x86-64-cfc
From ID:000500
#SPAR</t>
    <phoneticPr fontId="53" type="noConversion"/>
  </si>
  <si>
    <t>Type</t>
  </si>
  <si>
    <t>GP/CFC/HS</t>
  </si>
  <si>
    <t>Supplier PN</t>
  </si>
  <si>
    <t>L2 Description</t>
    <phoneticPr fontId="13" type="noConversion"/>
  </si>
  <si>
    <t>Supplier</t>
  </si>
  <si>
    <t>Windows Server2022</t>
    <phoneticPr fontId="13" type="noConversion"/>
  </si>
  <si>
    <t>Windows Server2025</t>
    <phoneticPr fontId="13" type="noConversion"/>
  </si>
  <si>
    <t>Vmware ESXi 8.0  U3</t>
    <phoneticPr fontId="13" type="noConversion"/>
  </si>
  <si>
    <t xml:space="preserve">Vmware ESXi 9.0  </t>
    <phoneticPr fontId="13" type="noConversion"/>
  </si>
  <si>
    <t>RHEL 8.10</t>
    <phoneticPr fontId="13" type="noConversion"/>
  </si>
  <si>
    <t>RHEL 9.4</t>
    <phoneticPr fontId="13" type="noConversion"/>
  </si>
  <si>
    <t>RHEL 9.5</t>
    <phoneticPr fontId="13" type="noConversion"/>
  </si>
  <si>
    <t>RHEL 9.6</t>
    <phoneticPr fontId="13" type="noConversion"/>
  </si>
  <si>
    <t>RHEL 10</t>
    <phoneticPr fontId="13" type="noConversion"/>
  </si>
  <si>
    <t>SLES 15 SP6</t>
    <phoneticPr fontId="13" type="noConversion"/>
  </si>
  <si>
    <r>
      <t>Ubuntu 22.04.5 HWE</t>
    </r>
    <r>
      <rPr>
        <sz val="10"/>
        <rFont val="微软雅黑"/>
        <family val="2"/>
        <charset val="134"/>
      </rPr>
      <t>（</t>
    </r>
    <r>
      <rPr>
        <sz val="10"/>
        <rFont val="Calibri"/>
        <family val="2"/>
      </rPr>
      <t>Kernel V6.8</t>
    </r>
    <r>
      <rPr>
        <sz val="10"/>
        <rFont val="微软雅黑"/>
        <family val="2"/>
        <charset val="134"/>
      </rPr>
      <t>）</t>
    </r>
  </si>
  <si>
    <t>Ubuntu 24.04 LTS GA</t>
    <phoneticPr fontId="13" type="noConversion"/>
  </si>
  <si>
    <t>Ubuntu 24.04.2</t>
    <phoneticPr fontId="13" type="noConversion"/>
  </si>
  <si>
    <t>Tool</t>
  </si>
  <si>
    <t>Remark</t>
  </si>
  <si>
    <t>change date</t>
  </si>
  <si>
    <t>SR17A55063</t>
    <phoneticPr fontId="13" type="noConversion"/>
  </si>
  <si>
    <t>Broadcom</t>
    <phoneticPr fontId="13" type="noConversion"/>
  </si>
  <si>
    <r>
      <t>Version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 xml:space="preserve">52.31.0-5764
</t>
    </r>
    <r>
      <rPr>
        <sz val="11"/>
        <color rgb="FFFF0000"/>
        <rFont val="Calibri"/>
        <family val="2"/>
      </rPr>
      <t xml:space="preserve">lnvgy_fw_raid_mr3.5.9562-52.31.0-5764-2_linux_x86-64-cfc
FormID:000709
</t>
    </r>
    <r>
      <rPr>
        <sz val="11"/>
        <rFont val="Calibri"/>
        <family val="2"/>
      </rPr>
      <t>lnvgy_fw_raid_mr3.5.9562-52.31.0-5764_windows_x86-64-cfc
FormID:000069
lnvgy_nv_raid_ocp9562_enable-nvdata-cfc
FormID:000131
#SPAR
version:1.31
lnvgy_fw_psoc-1.31_x86-64-cfc
FormID:000235
#SPAR
(</t>
    </r>
    <r>
      <rPr>
        <sz val="11"/>
        <rFont val="微软雅黑"/>
        <family val="2"/>
        <charset val="134"/>
      </rPr>
      <t>先刷</t>
    </r>
    <r>
      <rPr>
        <sz val="11"/>
        <rFont val="Calibri"/>
        <family val="2"/>
      </rPr>
      <t>FW</t>
    </r>
    <r>
      <rPr>
        <sz val="11"/>
        <rFont val="微软雅黑"/>
        <family val="2"/>
        <charset val="134"/>
      </rPr>
      <t>再刷</t>
    </r>
    <r>
      <rPr>
        <sz val="11"/>
        <rFont val="Calibri"/>
        <family val="2"/>
      </rPr>
      <t>enable-nvdata[FormID:000131],</t>
    </r>
    <r>
      <rPr>
        <sz val="11"/>
        <rFont val="微软雅黑"/>
        <family val="2"/>
        <charset val="134"/>
      </rPr>
      <t>最后刷</t>
    </r>
    <r>
      <rPr>
        <sz val="11"/>
        <rFont val="Calibri"/>
        <family val="2"/>
      </rPr>
      <t>PSOC)</t>
    </r>
  </si>
  <si>
    <r>
      <t>Version</t>
    </r>
    <r>
      <rPr>
        <sz val="10"/>
        <rFont val="等线"/>
        <family val="2"/>
        <charset val="134"/>
      </rPr>
      <t>：</t>
    </r>
    <r>
      <rPr>
        <sz val="10"/>
        <rFont val="Calibri"/>
        <family val="2"/>
      </rPr>
      <t>7.732.03.00
lnvgy_dd_raid_mr3.5-7.732.03.00-6_windows_x86-64-cfc
FormID:000239
#SPAR</t>
    </r>
  </si>
  <si>
    <r>
      <t>Version</t>
    </r>
    <r>
      <rPr>
        <sz val="10"/>
        <rFont val="等线"/>
        <family val="2"/>
        <charset val="134"/>
      </rPr>
      <t>：</t>
    </r>
    <r>
      <rPr>
        <sz val="10"/>
        <rFont val="Calibri"/>
        <family val="2"/>
      </rPr>
      <t>7.732.03.00
lnvgy_dd_raid_mr3.5-7.732.03.00-8_windows_x86-64-cfc
FormID:000240
#SPAR</t>
    </r>
  </si>
  <si>
    <r>
      <t>Version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7.732.03.00
lnvgy_dd_raid_mr3.x40-20250227-vc_vmware_x86-64-cfc
FormID:000242
#SPAR</t>
    </r>
  </si>
  <si>
    <t>inbox</t>
    <phoneticPr fontId="13" type="noConversion"/>
  </si>
  <si>
    <r>
      <t>Version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07.732.03.00
lnvgy_dd_raid_mr3-07.732.03.00-0_rhel8_x86-64-cfc
FormID:000352
#SPAR</t>
    </r>
  </si>
  <si>
    <r>
      <t>Version</t>
    </r>
    <r>
      <rPr>
        <sz val="10"/>
        <color theme="1"/>
        <rFont val="等线"/>
        <family val="2"/>
        <charset val="134"/>
      </rPr>
      <t>：</t>
    </r>
    <r>
      <rPr>
        <sz val="10"/>
        <color theme="1"/>
        <rFont val="Calibri"/>
        <family val="2"/>
      </rPr>
      <t>07.732.03.00
lnvgy_dd_raid_mr3-07.732.03.00-0_rhel9_x86-64-cfc
FormID:000241
#SPAR</t>
    </r>
  </si>
  <si>
    <r>
      <t>Version</t>
    </r>
    <r>
      <rPr>
        <sz val="10"/>
        <color theme="1"/>
        <rFont val="等线"/>
        <family val="2"/>
        <charset val="134"/>
      </rPr>
      <t>：</t>
    </r>
    <r>
      <rPr>
        <sz val="10"/>
        <color theme="1"/>
        <rFont val="Calibri"/>
        <family val="2"/>
      </rPr>
      <t>07.732.03.00
lnvgy_dd_raid_mr3-07.732.03.00-0_sles15_x86-64-cfc
FormID:000243
#SPAR</t>
    </r>
  </si>
  <si>
    <t>Version:008.012.007.000
lnvgy_utl_raid_mr3.lsa-008.012.007.000-0_windows_x86-64-cfc
FormID:000249
lnvgy_utl_raid_mr3.lsa-008.012.007.000-0_vmware_x86-64-cfc
FormID:000250
lnvgy_utl_raid_mr3.lsa-008.012.007.000-2_linux_x86-64-cfc
FormID:000411
Version:007.3205.0000.0000
lnvgy_utl_raid_mr3.storcli-007.3205.0000.0000-0_windows_x86-64-cfc
FormID:000252
lnvgy_utl_raid_mr3.storcli-007.3205.0000.0000-0_vmware_x86-64-cfc
FormID:000253
lnvgy_utl_raid_mr3.storcli-007.3205.0000.0000-4_linux_x86-64-cfc
FormID:000380
#SPAR</t>
    <phoneticPr fontId="13" type="noConversion"/>
  </si>
  <si>
    <t>SR17C00649</t>
    <phoneticPr fontId="13" type="noConversion"/>
  </si>
  <si>
    <t>ThinkSystem RAID 9350-8i 2GB Flash PCIe 12Gb Adapter</t>
    <phoneticPr fontId="13" type="noConversion"/>
  </si>
  <si>
    <r>
      <t xml:space="preserve">Version:7.60
</t>
    </r>
    <r>
      <rPr>
        <sz val="11"/>
        <color rgb="FFFF0000"/>
        <rFont val="Calibri"/>
        <family val="2"/>
      </rPr>
      <t xml:space="preserve">lnvgy_fw_storage-adapter_smartpqi.350-7.60-2_linux_x86-64-cfc
FormID:000590
</t>
    </r>
    <r>
      <rPr>
        <sz val="11"/>
        <rFont val="Calibri"/>
        <family val="2"/>
      </rPr>
      <t>lnvgy_fw_storage-adapter_smartpqi.350-7.60-0_windows_x86-64-cfc
FormID:000448
#SPAR</t>
    </r>
  </si>
  <si>
    <t xml:space="preserve">Version: 1016.18.0.1014
lnvgy_dd_storage-adapter_smartpqi-1016.18.0.1014-2_windows_x86-64-cfc
FormID:	000446
#SPAR
</t>
    <phoneticPr fontId="13" type="noConversion"/>
  </si>
  <si>
    <t>Version:4856.0.105
lnvgy_dd_storage-adapter_smartpqi-20250423-vc_vmware_x86-64-cfc
FormID:000458
#SPAR</t>
    <phoneticPr fontId="13" type="noConversion"/>
  </si>
  <si>
    <t xml:space="preserve">Version: 2.1.34-035
lnvgy_dd_storage-adapter_smartpqi-2.1.34-035-0_rhel8_x86-64-cfc
FormID:	000442
#SPAR
</t>
    <phoneticPr fontId="13" type="noConversion"/>
  </si>
  <si>
    <t xml:space="preserve">Version: 2.1.34-035
lnvgy_dd_storage-adapter_smartpqi-2.1.34-035-0_rhel9_x86-64-cfc
FormID:	000443
#SPAR
</t>
    <phoneticPr fontId="13" type="noConversion"/>
  </si>
  <si>
    <t xml:space="preserve">Version: 2.1.34-035
lnvgy_dd_storage-adapter_smartpqi-2.1.34-035-0_sles15_x86-64-cfc
FormID:	000445
#SPAR
</t>
    <phoneticPr fontId="13" type="noConversion"/>
  </si>
  <si>
    <t>Version:4.26.00.27449
lnvgy_utl_storage-adapter_smartpqi.storman-4.26.00.27449-0_linux_x86-64-cfc
FormID:000455
lnvgy_utl_storage-adapter_smartpqi.storman-4.26.00.27449-0_windows_x86-64-cfc
FormID:000454
lnvgy_utl_storage-adapter_smartpqi.storman-4.26.00.27449-0_vmware_x86-64-cfc
FormID:000453
Version:4.26.00.27449
lnvgy_utl_storage-adapter_smartpqi.arcconf-4.26.00.27449-0_windows_x86-64-cfc
FormID:000452
lnvgy_utl_storage-adapter_smartpqi.arcconf-4.26.00.27449-0_vmware_x86-64-cfc
FormID:000451
lnvgy_utl_storage-adapter_smartpqi.arcconf-4.26.00.27449-0_linux_x86-64-cfc
FormID:000450
#SPAR</t>
    <phoneticPr fontId="13" type="noConversion"/>
  </si>
  <si>
    <t>SR17B84772</t>
    <phoneticPr fontId="13" type="noConversion"/>
  </si>
  <si>
    <t>45C28FM1A00</t>
    <phoneticPr fontId="13" type="noConversion"/>
  </si>
  <si>
    <t>microchip</t>
    <phoneticPr fontId="13" type="noConversion"/>
  </si>
  <si>
    <t>SR17A85790</t>
  </si>
  <si>
    <t>45C28FM4A00</t>
  </si>
  <si>
    <t>ThinkSystem RAID 9350-16i 4GB Flash PCIe 12Gb Adapter</t>
  </si>
  <si>
    <t>SR17B84774</t>
  </si>
  <si>
    <t>SR17B77455</t>
  </si>
  <si>
    <t>SR17B77505</t>
  </si>
  <si>
    <t>ThinkSystem 4350-16i SAS/SATA 12Gb HBA</t>
  </si>
  <si>
    <t>SR17A85786</t>
  </si>
  <si>
    <t>SR17B77508</t>
  </si>
  <si>
    <t>SN37A28408</t>
    <phoneticPr fontId="13" type="noConversion"/>
  </si>
  <si>
    <r>
      <rPr>
        <sz val="11"/>
        <color rgb="FF000000"/>
        <rFont val="Calibri"/>
        <family val="2"/>
      </rPr>
      <t>NXE linux Version</t>
    </r>
    <r>
      <rPr>
        <sz val="11"/>
        <color rgb="FF000000"/>
        <rFont val="微软雅黑"/>
        <family val="2"/>
        <charset val="134"/>
      </rPr>
      <t>：</t>
    </r>
    <r>
      <rPr>
        <sz val="11"/>
        <color rgb="FF000000"/>
        <rFont val="Calibri"/>
        <family val="2"/>
      </rPr>
      <t>nxe-232.1.132.8
brcm-lnvgy_fw_nic_nxe-232.1.132.8-8_linux_x86-64-cfc
FormID:000226
NXE windows Version</t>
    </r>
    <r>
      <rPr>
        <sz val="11"/>
        <color rgb="FF000000"/>
        <rFont val="微软雅黑"/>
        <family val="2"/>
        <charset val="134"/>
      </rPr>
      <t>：</t>
    </r>
    <r>
      <rPr>
        <sz val="11"/>
        <color rgb="FF000000"/>
        <rFont val="Calibri"/>
        <family val="2"/>
      </rPr>
      <t>nxe-232.1.132.8
brcm-lnvgy_fw_nic_nxe-232.1.132.8-8-a_windows_x86-64-cfc
FormID:000279
NX1 Linux Version: nx1-230.0.3.1
brcm-lnvgy_fw_nic_nx1-230.0.3.1-2_linux_x86-64-cfc
FormID:000280
NX1 Windows Version: nx1-230.0.3.1
brcm-lnvgy_fw_nic_nx1-230.0.3.1-2-a_windows_x86-64-cfc
FormID:000281
#SPAR</t>
    </r>
  </si>
  <si>
    <r>
      <t xml:space="preserve"> NXE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232.0.155.7
brcm-lnvgy_dd_nic_nxe-232.0.155.7-224-a_windows_x86-64-cfc
FormID:000033
#SPAR
NX1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nx1-221.0.6.0
brcm-lnvgy_dd_nic_nx1-221.0.6.0-4-a_windows_x86-64
#DRUM</t>
    </r>
  </si>
  <si>
    <r>
      <t xml:space="preserve"> NXE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232.0.155.7
brcm-lnvgy_dd_nic_nxe-232.0.155.7-254-a_windows_x86-64-cfc
FormID:000034
#SPAR
NX1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nx1-221.0.6.0
brcm-lnvgy_dd_nic_nx1-221.0.6.0-4-a_windows_x86-64
#DRUM</t>
    </r>
  </si>
  <si>
    <r>
      <t>NXE 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233.0.156.0
brcm-lnvgy_dd_nic_nxe-20250618-233-vc_vmware_x86-64-cfc
FormID:000702
#SPAR
NX1: inbox</t>
    </r>
  </si>
  <si>
    <r>
      <t>NXE Version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nxe-1.10.3-233.0.198.0-2
brcm-lnvgy_dd_nic_nxe-1.10.3-233.0.198.0-2_rhel9_x86-64-cfc
FormID:000658
#SPAR
NX1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inbox</t>
    </r>
  </si>
  <si>
    <r>
      <t>NXE Version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nxe-1.10.3-233.0.198.0-2
brcm-lnvgy_dd_nic_nxe-1.10.3-233.0.198.0-2_rhel10_x86-64-cfc
FormID:000704
#SPAR
NX1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inbox</t>
    </r>
  </si>
  <si>
    <r>
      <t>NXE Version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nxe-1.10.3-232.0.155.5
brcm-lnvgy_dd_nic_nxe-1.10.3-232.0.155.5-4_sles15_x86-64-cfc
FormID:000037
#SPAR
NX1 Version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nx1-3.139q
brcm-lnvgy_dd_nic_nx1-3.139q-8_sles15_x86-64-cfc
FormID:000036
#SPAR</t>
    </r>
  </si>
  <si>
    <t>SN37A91440</t>
    <phoneticPr fontId="13" type="noConversion"/>
  </si>
  <si>
    <r>
      <t>NXE linux Version</t>
    </r>
    <r>
      <rPr>
        <sz val="11"/>
        <color rgb="FF000000"/>
        <rFont val="微软雅黑"/>
        <family val="2"/>
        <charset val="134"/>
      </rPr>
      <t>：</t>
    </r>
    <r>
      <rPr>
        <sz val="11"/>
        <color rgb="FF000000"/>
        <rFont val="Calibri"/>
        <family val="2"/>
      </rPr>
      <t>nxe-232.1.132.8
brcm-lnvgy_fw_nic_nxe-232.1.132.8-8_linux_x86-64-cfc
FormID:000226
NXE windows Version</t>
    </r>
    <r>
      <rPr>
        <sz val="11"/>
        <color rgb="FF000000"/>
        <rFont val="微软雅黑"/>
        <family val="2"/>
        <charset val="134"/>
      </rPr>
      <t>：</t>
    </r>
    <r>
      <rPr>
        <sz val="11"/>
        <color rgb="FF000000"/>
        <rFont val="Calibri"/>
        <family val="2"/>
      </rPr>
      <t>nxe-232.1.132.8
brcm-lnvgy_fw_nic_nxe-232.1.132.8-8-a_windows_x86-64-cfc
FormID:000279
#SPAR</t>
    </r>
  </si>
  <si>
    <r>
      <t xml:space="preserve"> NXE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232.0.155.7
brcm-lnvgy_dd_nic_nxe-232.0.155.7-224-a_windows_x86-64-cfc
FormID:000033
#SPAR</t>
    </r>
  </si>
  <si>
    <r>
      <t xml:space="preserve"> NXE 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232.0.155.7
brcm-lnvgy_dd_nic_nxe-232.0.155.7-254-a_windows_x86-64-cfc
FormID:000034
#SPAR</t>
    </r>
  </si>
  <si>
    <r>
      <t>NXE Version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233.0.156.0
brcm-lnvgy_dd_nic_nxe-20250618-233-vc_vmware_x86-64-cfc
FormID:000702
#SPAR</t>
    </r>
  </si>
  <si>
    <r>
      <t xml:space="preserve"> NXE Version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nxe-1.10.3-232.0.155.5
brcm-lnvgy_dd_nic_nxe-1.10.3-232.0.155.5-2_rhel8_x86-64-cfc
FormID:000019
#SPAR</t>
    </r>
  </si>
  <si>
    <r>
      <t xml:space="preserve"> NXE Version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nxe-1.10.3-232.0.155.5
brcm-lnvgy_dd_nic_nxe-1.10.3-232.0.155.5-2_rhel9_x86-64-cfc
FormID:000024
#SPAR</t>
    </r>
  </si>
  <si>
    <r>
      <t>NXE 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nxe-1.10.3-233.0.198.0-2</t>
    </r>
    <r>
      <rPr>
        <sz val="10"/>
        <color theme="1"/>
        <rFont val="微软雅黑"/>
        <family val="2"/>
        <charset val="134"/>
      </rPr>
      <t xml:space="preserve">
</t>
    </r>
    <r>
      <rPr>
        <sz val="10"/>
        <color theme="1"/>
        <rFont val="Calibri"/>
        <family val="2"/>
      </rPr>
      <t xml:space="preserve">brcm-lnvgy_dd_nic_nxe-1.10.3-233.0.198.0-2_rhel9_x86-64-cfc
FormID:000658
#SPAR
</t>
    </r>
  </si>
  <si>
    <r>
      <t>NXE Version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nxe-1.10.3-233.0.198.0-2
brcm-lnvgy_dd_nic_nxe-1.10.3-233.0.198.0-2_rhel10_x86-64-cfc
FormID:000704
#SPAR</t>
    </r>
  </si>
  <si>
    <r>
      <t>NXE Version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nxe-1.10.3-232.0.155.5
brcm-lnvgy_dd_nic_nxe-1.10.3-232.0.155.5-4_sles15_x86-64-cfc
FormID:000037
#SPAR</t>
    </r>
  </si>
  <si>
    <t>SN37A91129</t>
    <phoneticPr fontId="13" type="noConversion"/>
  </si>
  <si>
    <t>ThinkSystem Broadcom 57508 100GbE QSFP56 2-port PCIe 4 Ethernet Adapter v2</t>
    <phoneticPr fontId="13" type="noConversion"/>
  </si>
  <si>
    <t>SN37B00936</t>
    <phoneticPr fontId="13" type="noConversion"/>
  </si>
  <si>
    <t>BCM957414N4140LC3</t>
  </si>
  <si>
    <t>ThinkSystem Broadcom 57414 10/25GbE SFP28 2-port OCP Ethernet Adapter</t>
  </si>
  <si>
    <r>
      <rPr>
        <sz val="11"/>
        <color rgb="FF000000"/>
        <rFont val="Calibri"/>
        <family val="2"/>
      </rPr>
      <t>NXE linux Version</t>
    </r>
    <r>
      <rPr>
        <sz val="11"/>
        <color rgb="FF000000"/>
        <rFont val="微软雅黑"/>
        <family val="2"/>
        <charset val="134"/>
      </rPr>
      <t>：</t>
    </r>
    <r>
      <rPr>
        <sz val="11"/>
        <color rgb="FF000000"/>
        <rFont val="Calibri"/>
        <family val="2"/>
      </rPr>
      <t>nxe-232.1.132.8
brcm-lnvgy_fw_nic_nxe-232.1.132.8-8_linux_x86-64-cfc
FormID:000226
NXE windows Version</t>
    </r>
    <r>
      <rPr>
        <sz val="11"/>
        <color rgb="FF000000"/>
        <rFont val="微软雅黑"/>
        <family val="2"/>
        <charset val="134"/>
      </rPr>
      <t>：</t>
    </r>
    <r>
      <rPr>
        <sz val="11"/>
        <color rgb="FF000000"/>
        <rFont val="Calibri"/>
        <family val="2"/>
      </rPr>
      <t>nxe-232.1.132.8
brcm-lnvgy_fw_nic_nxe-232.1.132.8-8-a_windows_x86-64-cfc
FormID:000279
#SPAR</t>
    </r>
  </si>
  <si>
    <t>SN37B04056</t>
    <phoneticPr fontId="13" type="noConversion"/>
  </si>
  <si>
    <t>SN30L27797</t>
    <phoneticPr fontId="13" type="noConversion"/>
  </si>
  <si>
    <t>BCM957416M4161C</t>
  </si>
  <si>
    <t>ThinkSystem Broadcom 57416 10GBASE-T 2-Port PCIe Ethernet Adapter</t>
  </si>
  <si>
    <t>SN37B04058</t>
    <phoneticPr fontId="13" type="noConversion"/>
  </si>
  <si>
    <t>SN37A28527</t>
    <phoneticPr fontId="13" type="noConversion"/>
  </si>
  <si>
    <r>
      <t>Version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232.1.132.8
nvmUpgrade_232.1.132.8_GENERIC_V2_20250122
FormID:000066
#SPAR</t>
    </r>
  </si>
  <si>
    <t>NIC</t>
    <phoneticPr fontId="13" type="noConversion"/>
  </si>
  <si>
    <t>SN37B87407</t>
    <phoneticPr fontId="13" type="noConversion"/>
  </si>
  <si>
    <t>GP</t>
    <phoneticPr fontId="13" type="noConversion"/>
  </si>
  <si>
    <t>BCM957608-P220LQF00</t>
    <phoneticPr fontId="13" type="noConversion"/>
  </si>
  <si>
    <t>NA</t>
    <phoneticPr fontId="13" type="noConversion"/>
  </si>
  <si>
    <t>Sustaining 25-1</t>
    <phoneticPr fontId="13" type="noConversion"/>
  </si>
  <si>
    <t>SN37C13910</t>
    <phoneticPr fontId="13" type="noConversion"/>
  </si>
  <si>
    <t>CFC</t>
    <phoneticPr fontId="13" type="noConversion"/>
  </si>
  <si>
    <t>Netswift FF5025-DDATACXX PCIe 25Gb 2-Port SFP+ Ethernet Adapter</t>
    <phoneticPr fontId="13" type="noConversion"/>
  </si>
  <si>
    <t>Netswift</t>
    <phoneticPr fontId="13" type="noConversion"/>
  </si>
  <si>
    <t>Version:0x30002052
Netswift-Invgy_fw_nic_FF5025-0x30002052_linux_x86-64-cfc
From ID:000363
#SPAR</t>
    <phoneticPr fontId="13" type="noConversion"/>
  </si>
  <si>
    <r>
      <rPr>
        <sz val="10"/>
        <color rgb="FFFF0000"/>
        <rFont val="Calibri"/>
        <family val="2"/>
      </rPr>
      <t>Version:1.3.619.2025</t>
    </r>
    <r>
      <rPr>
        <sz val="10"/>
        <color theme="1"/>
        <rFont val="Calibri"/>
        <family val="2"/>
      </rPr>
      <t xml:space="preserve">
NetSwift-lnvgy_dd_nic_txn63x64-1.3.0619.2025_windows_x86-64-cfc
From ID:000638
#SPAR</t>
    </r>
  </si>
  <si>
    <t>Version:1.0.2
Wx-txgbe_1.0.2-1OEM.700.1.0.15843807_24619465-package-cfc
From ID:000364
#SPAR</t>
    <phoneticPr fontId="13" type="noConversion"/>
  </si>
  <si>
    <t>version:2.1.1
NetSwift-lnvgy_dd_nic_txgbe-2.1.1-2_linux_x86-64-cfc
From ID:000710
#SPAR</t>
    <phoneticPr fontId="13" type="noConversion"/>
  </si>
  <si>
    <t>DDList V2.0均为修复bug更新FW及驱动，相关Bug进行验证即可，DDList不做额外测试安排</t>
  </si>
  <si>
    <t>L2 Description</t>
    <phoneticPr fontId="0" type="noConversion"/>
  </si>
  <si>
    <t>备注</t>
  </si>
  <si>
    <t>Windows Server2022</t>
    <phoneticPr fontId="0" type="noConversion"/>
  </si>
  <si>
    <t>Windows Server2025</t>
    <phoneticPr fontId="0" type="noConversion"/>
  </si>
  <si>
    <t>Vmware ESXi 8.0  U3</t>
    <phoneticPr fontId="0" type="noConversion"/>
  </si>
  <si>
    <t xml:space="preserve">Vmware ESXi 9.0  </t>
    <phoneticPr fontId="0" type="noConversion"/>
  </si>
  <si>
    <t>RHEL 8.10</t>
    <phoneticPr fontId="0" type="noConversion"/>
  </si>
  <si>
    <t>RHEL 9.4</t>
    <phoneticPr fontId="0" type="noConversion"/>
  </si>
  <si>
    <t>RHEL 9.5</t>
    <phoneticPr fontId="0" type="noConversion"/>
  </si>
  <si>
    <t>RHEL 9.6</t>
    <phoneticPr fontId="0" type="noConversion"/>
  </si>
  <si>
    <t>RHEL 10</t>
    <phoneticPr fontId="0" type="noConversion"/>
  </si>
  <si>
    <t>SLES 15 SP6</t>
    <phoneticPr fontId="0" type="noConversion"/>
  </si>
  <si>
    <t>Ubuntu 24.04 LTS GA</t>
    <phoneticPr fontId="0" type="noConversion"/>
  </si>
  <si>
    <t>Ubuntu 24.04.2</t>
    <phoneticPr fontId="0" type="noConversion"/>
  </si>
  <si>
    <t>SN37A28455</t>
    <phoneticPr fontId="0" type="noConversion"/>
  </si>
  <si>
    <t>Qlogic</t>
    <phoneticPr fontId="0" type="noConversion"/>
  </si>
  <si>
    <t>leverage WR5220 G3 DDList_V2.0测试结果</t>
  </si>
  <si>
    <t>Version：
Flash Image Version 10.10.04（ FC Firmware v9.15.06）
FW_qlogic_FC_2770_2772_img10.10.04_b1_9.15.06-2-cfc
From ID:000678
#SPAR</t>
  </si>
  <si>
    <t>Version:5.4.84.0
MRVL-QLogic-FC_5.4.84.0-1OEM.803.0.0.24022510_24393945-package-cfc
From ID:000355
#SPAR</t>
    <phoneticPr fontId="0" type="noConversion"/>
  </si>
  <si>
    <t>Version:5.5.85.0
MRVL-QLogic-FC_5.5.85.0-1OEM.900.0.24580437_24658432-package-cfc
From ID:000644
#SPAR</t>
    <phoneticPr fontId="0" type="noConversion"/>
  </si>
  <si>
    <t>version:10.02.13.00
kmod-qlgc-qla2xxx-10.02.13.00_k-1.rhel8u10.x86_64-cfc.rpm
From ID:000333
#SPAR</t>
    <phoneticPr fontId="0" type="noConversion"/>
  </si>
  <si>
    <t>Version:10.02.14.01
kmod-qlgc-qla2xxx-10.02.14.01_k-1.rhel9u6.x86_64-cfc
From ID:000645
#SPAR</t>
    <phoneticPr fontId="0" type="noConversion"/>
  </si>
  <si>
    <t>Version:10.02.14.01
kmod-qlgc-qla2xxx-10.02.14.01_k-1.rhel10u0.x86_64-cfc
From ID:000646
#SPAR</t>
    <phoneticPr fontId="0" type="noConversion"/>
  </si>
  <si>
    <t>SN37A28379</t>
    <phoneticPr fontId="0" type="noConversion"/>
  </si>
  <si>
    <t xml:space="preserve">Version:
Flash Image Version 10.04.04（ FC Firmware v9.15.01）
FW_qlogic_FC_2690_2692_img10.04.04_b1_9.15.01-2-cfc
From ID:000677
#SPAR
</t>
  </si>
  <si>
    <t>NIC</t>
    <phoneticPr fontId="0" type="noConversion"/>
  </si>
  <si>
    <t>SN37B92112</t>
    <phoneticPr fontId="0" type="noConversion"/>
  </si>
  <si>
    <t>GP</t>
    <phoneticPr fontId="0" type="noConversion"/>
  </si>
  <si>
    <t>ThinkSystem QLogic QLE2872 64Gb 2-Port PCIe Fibre Channel Adapter(Generic FW)</t>
    <phoneticPr fontId="0" type="noConversion"/>
  </si>
  <si>
    <t>Version：
Flash Image Version 10.10.04（ FC Firmware v9.15.06）
FW_qlogic_FC_2870_2872_img10.10.04_b1_9.15.06-2-cfc
From ID:000679
#SPAR</t>
  </si>
  <si>
    <t>Sustaining 25-1</t>
    <phoneticPr fontId="0" type="noConversion"/>
  </si>
  <si>
    <t>DDList v2.0变更全部leverage WR5220 G3 DDListv2.0测试结果</t>
  </si>
  <si>
    <t>L2 Description</t>
    <phoneticPr fontId="11" type="noConversion"/>
  </si>
  <si>
    <t>Windows Server2022</t>
    <phoneticPr fontId="11" type="noConversion"/>
  </si>
  <si>
    <t>Windows Server2025</t>
    <phoneticPr fontId="11" type="noConversion"/>
  </si>
  <si>
    <t>Vmware ESXi 8.0  U3</t>
    <phoneticPr fontId="11" type="noConversion"/>
  </si>
  <si>
    <t xml:space="preserve">Vmware ESXi 9.0  </t>
    <phoneticPr fontId="11" type="noConversion"/>
  </si>
  <si>
    <t>RHEL 8.10</t>
    <phoneticPr fontId="11" type="noConversion"/>
  </si>
  <si>
    <t>RHEL 9.4</t>
    <phoneticPr fontId="11" type="noConversion"/>
  </si>
  <si>
    <t>RHEL 9.5</t>
    <phoneticPr fontId="11" type="noConversion"/>
  </si>
  <si>
    <t>RHEL 9.6</t>
    <phoneticPr fontId="11" type="noConversion"/>
  </si>
  <si>
    <t>RHEL 10</t>
    <phoneticPr fontId="11" type="noConversion"/>
  </si>
  <si>
    <t>SLES 15 SP6</t>
    <phoneticPr fontId="11" type="noConversion"/>
  </si>
  <si>
    <t>Ubuntu 24.04 LTS GA</t>
    <phoneticPr fontId="11" type="noConversion"/>
  </si>
  <si>
    <t>Ubuntu 24.04.2</t>
    <phoneticPr fontId="11" type="noConversion"/>
  </si>
  <si>
    <t>SSS7B96070</t>
    <phoneticPr fontId="11" type="noConversion"/>
  </si>
  <si>
    <t>PJ1-GW960P</t>
    <phoneticPr fontId="11" type="noConversion"/>
  </si>
  <si>
    <t>Generic M.2 SSSTC PJ1 960GB NVMe PCIe 4.0 SSD</t>
  </si>
  <si>
    <t>SSSTC</t>
  </si>
  <si>
    <t>BB福帅已测试</t>
  </si>
  <si>
    <t xml:space="preserve">Version：FG25203
 lnvgy_fw_drives_all-1.12.06_linux_x86-64-cfc 
Form ID:000651 
#SPAR </t>
  </si>
  <si>
    <t>inbox</t>
    <phoneticPr fontId="11" type="noConversion"/>
  </si>
  <si>
    <t>wave2</t>
  </si>
  <si>
    <t>SN37A28376</t>
    <phoneticPr fontId="11" type="noConversion"/>
  </si>
  <si>
    <t>Leverage WR5220 G3 V1.9测试结果</t>
  </si>
  <si>
    <t xml:space="preserve">Version:1.63, 0x80001000, 1.3755.0
intc-lnvgy_fw_nic_net-9.53-3.70-1.3755.0-0_linux_x86-64-cfc
From ID:000212
intc-lnvgy_fw_nic_net-9.53-3.70-1.3755.0-0_windows_x86-64-cfc
From ID:000213
#SPAR
</t>
    <phoneticPr fontId="11" type="noConversion"/>
  </si>
  <si>
    <t>Version:14.0.5.0
intc-lnvgy_dd_nic_net-30.0.1-0_windows_x86-64-cfc 
From ID:000329
#SPAR</t>
  </si>
  <si>
    <t>Version:5.18.7
intc-lnvgy_dd_nic_net-30.0.1-2_rhel9_x86-64-cfc
From ID:000434
#SPAR</t>
    <phoneticPr fontId="11" type="noConversion"/>
  </si>
  <si>
    <t>Version:5.19.3
intc-lnvgy_dd_nic_net-30.1.1-0_rhel9.6_x86-64-cfc
From ID:000605
#SPAR</t>
  </si>
  <si>
    <t>Version:5.19.3
intc-lnvgy_dd_nic_net-30.1.1-0_rhel10.0_x86-64-cfc
From ID:000610
#SPAR</t>
    <phoneticPr fontId="11" type="noConversion"/>
  </si>
  <si>
    <t>SN37B08827</t>
  </si>
  <si>
    <t>Intel E810-DA4 10/25GbE SFP28 4-port OCP Ethernet Adapter (pull tab)</t>
  </si>
  <si>
    <t>Leverage E810-XXVDA2结果</t>
  </si>
  <si>
    <t>Version:4.70 0x8001F7B7 1.3755.0
intc-lnvgy_fw_nic_net.e800.da4.ocp-4.70-1.3755.0-0_linux_x86-64-cfc
From ID:000208
intc-lnvgy_fw_nic_net.e800.da4.ocp-4.70-1.3755.0-0_windows_x86-64-cfc
From ID:000209
#SPAR</t>
    <phoneticPr fontId="11" type="noConversion"/>
  </si>
  <si>
    <t>Version:1.15.302.0
intc-lnvgy_dd_nic_net-30.0.1-0_windows_x86-64-cfc 
From ID:000329
#SPAR</t>
  </si>
  <si>
    <t>Version:1.16.3
intc-lnvgy_dd_nic_net-30.0.1-2_rhel9_x86-64-cfc
From ID:000434
#SPAR</t>
    <phoneticPr fontId="11" type="noConversion"/>
  </si>
  <si>
    <t>Version:1.17.8
intc-lnvgy_dd_nic_net-30.1.1-0_rhel9.6_x86-64-cfc
From ID:000605
#SPAR</t>
    <phoneticPr fontId="11" type="noConversion"/>
  </si>
  <si>
    <t>Version:1.17.8
intc-lnvgy_dd_nic_net-30.1.1-0_rhel10.0_x86-64-cfc
From ID:000610
#SPAR</t>
    <phoneticPr fontId="11" type="noConversion"/>
  </si>
  <si>
    <t>SN37A28377</t>
    <phoneticPr fontId="11" type="noConversion"/>
  </si>
  <si>
    <t>Leverage X710-T4L结果</t>
  </si>
  <si>
    <t>Version:9.53 0x8000F8DF 1.3755.0
intc-lnvgy_fw_nic_net-9.53-3.70-1.3755.0-0_linux_x86-64-cfc
From ID:000212
intc-lnvgy_fw_nic_net-9.53-3.70-1.3755.0-0_windows_x86-64-cfc
From ID:000213
#SPAR</t>
    <phoneticPr fontId="11" type="noConversion"/>
  </si>
  <si>
    <t>Version:2.27.8
intc-lnvgy_dd_nic_net-30.0.1-2_rhel9_x86-64-cfc
From ID:000434
#SPAR</t>
    <phoneticPr fontId="11" type="noConversion"/>
  </si>
  <si>
    <t>Version:2.28.7
intc-lnvgy_dd_nic_net-30.1.1-0_rhel9.6_x86-64-cfc
From ID:000605
#SPAR</t>
    <phoneticPr fontId="11" type="noConversion"/>
  </si>
  <si>
    <t>Version:2.28.7
intc-lnvgy_dd_nic_net-30.1.1-0_rhel10.0_x86-64-cfc
From ID:000610
#SPAR</t>
    <phoneticPr fontId="11" type="noConversion"/>
  </si>
  <si>
    <t>Version:1.17.8
intc-lnvgy_dd_nic_net-30.1.1-0_rhel9.6_x86-64-cfc
From ID:000605
#SPAR</t>
  </si>
  <si>
    <t>SN37A28438</t>
    <phoneticPr fontId="11" type="noConversion"/>
  </si>
  <si>
    <t>Version:9.53 0x8000F938 1.3755.0
intc-lnvgy_fw_nic_net-9.53-3.70-1.3755.0-0_linux_x86-64-cfc
From ID:000212
intc-lnvgy_fw_nic_net-9.53-3.70-1.3755.0-0_windows_x86-64-cfc
From ID:000213
#SPAR</t>
    <phoneticPr fontId="11" type="noConversion"/>
  </si>
  <si>
    <t>SN37A28449</t>
    <phoneticPr fontId="11" type="noConversion"/>
  </si>
  <si>
    <t>Version:1.63, 0x800010c0, 1.3755.0
intc-lnvgy_fw_nic_net-9.53-3.70-1.3755.0-0_linux_x86-64-cfc
From ID:000212
intc-lnvgy_fw_nic_net-9.53-3.70-1.3755.0-0_windows_x86-64-cfc
From ID:000213
#SPAR</t>
    <phoneticPr fontId="11" type="noConversion"/>
  </si>
  <si>
    <t>Version:5.19.3
intc-lnvgy_dd_nic_net-30.1.1-0_rhel9.6_x86-64-cfc
From ID:000605
#SPAR</t>
    <phoneticPr fontId="11" type="noConversion"/>
  </si>
  <si>
    <t>Qlogic</t>
    <phoneticPr fontId="11" type="noConversion"/>
  </si>
  <si>
    <t>Version：
Flash Image Version 10.10.04（ FC Firmware v9.15.06）
FW_qlogic_FC_2770_2772_img10.10.04_b1_9.15.06_0-cfc
From ID:000648
#SPAR</t>
  </si>
  <si>
    <t>version: 9.4.11.20
q23wx64W16Storv9.4.11.20_WHQL_1152921505698569471-cfc
From ID: 000409
#SPAR</t>
    <phoneticPr fontId="11" type="noConversion"/>
  </si>
  <si>
    <t>Version:5.4.84.0
MRVL-QLogic-FC_5.4.84.0-1OEM.803.0.0.24022510_24393945-package-cfc
From ID:000355
#SPAR</t>
    <phoneticPr fontId="11" type="noConversion"/>
  </si>
  <si>
    <t>Version:5.5.85.0
MRVL-QLogic-FC_5.5.85.0-1OEM.900.0.24580437_24658432-package-cfc
From ID:000644
#SPAR</t>
    <phoneticPr fontId="11" type="noConversion"/>
  </si>
  <si>
    <t>version:10.02.13.00
kmod-qlgc-qla2xxx-10.02.13.00_k-1.rhel8u10.x86_64-cfc.rpm
From ID:000333
#SPAR</t>
    <phoneticPr fontId="11" type="noConversion"/>
  </si>
  <si>
    <t>Version:10.02.14.01
kmod-qlgc-qla2xxx-10.02.14.01_k-1.rhel9u6.x86_64-cfc
From ID:000645
#SPAR</t>
    <phoneticPr fontId="11" type="noConversion"/>
  </si>
  <si>
    <t>Version:10.02.14.01
kmod-qlgc-qla2xxx-10.02.14.01_k-1.rhel10u0.x86_64-cfc
From ID:000646
#SPAR</t>
    <phoneticPr fontId="11" type="noConversion"/>
  </si>
  <si>
    <t>SN37A28452</t>
    <phoneticPr fontId="11" type="noConversion"/>
  </si>
  <si>
    <t>Version:9.53 0x8000F909 1.3755.0
intc-lnvgy_fw_nic_net-9.53-3.70-1.3755.0-0_linux_x86-64-cfc
From ID:000212
intc-lnvgy_fw_nic_net-9.53-3.70-1.3755.0-0_windows_x86-64-cfc
From ID:000213
#SPAR</t>
    <phoneticPr fontId="11" type="noConversion"/>
  </si>
  <si>
    <t>SN37A28456</t>
    <phoneticPr fontId="11" type="noConversion"/>
  </si>
  <si>
    <t xml:space="preserve">Version:0x8000184A, 1.3052.0
intc-lnvgy_fw_nic_net-9.53-3.70-1.3755.0-2_linux_x86-64-cfc
From ID:000515
intc-lnvgy_fw_nic_net-9.53-3.70-1.3755.0-2_windows_x86-64-cfc
From ID:000516
#SPAR </t>
    <phoneticPr fontId="11" type="noConversion"/>
  </si>
  <si>
    <t>Version:4.1.254.0
intc-lnvgy_dd_nic_net-30.0.1-0_windows_x86-64-cfc 
From ID:000329
#SPAR</t>
  </si>
  <si>
    <t>Version:4.2.6.0
intc-lnvgy_dd_nic_net-30.0.1-0_windows_x86-64-cfc 
From ID:000329
#SPAR</t>
  </si>
  <si>
    <t>Version:6.0.6
intc-lnvgy_dd_nic_net-30.0.1-0_rhel8_x86-64-cfc
From ID:000322
#SPAR</t>
  </si>
  <si>
    <t>Version:6.0.6
intc-lnvgy_dd_nic_net-30.0.1-2_rhel9_x86-64-cfc
From ID:000434
#SPAR</t>
    <phoneticPr fontId="11" type="noConversion"/>
  </si>
  <si>
    <t>Version:6.1.5
intc-lnvgy_dd_nic_net-30.1.1-0_rhel9.6_x86-64-cfc
From ID:000605
#SPAR</t>
    <phoneticPr fontId="11" type="noConversion"/>
  </si>
  <si>
    <t>Version:6.1.5
intc-lnvgy_dd_nic_net-30.1.1-0_rhel10.0_x86-64-cfc
From ID:000610
#SPAR</t>
    <phoneticPr fontId="11" type="noConversion"/>
  </si>
  <si>
    <t>Version:6.0.6
intc-lnvgy_dd_nic_net-30.0.1-0_sles15_x86-64-cfc
From ID:000325
#SPAR</t>
  </si>
  <si>
    <t>SN37B08826</t>
  </si>
  <si>
    <t>99A2H8</t>
  </si>
  <si>
    <t>Intel E810-DA4 10/25GbE SFP28 4-port PCIe Ethernet</t>
  </si>
  <si>
    <t>Version:4.70 0x8001F7B9 1.3755.0
intc-lnvgy_fw_nic_net.e800.da4.pcie-4.70-1.3755.0-0_linux_x86-64-cfc
From ID:000210
intc-lnvgy_fw_nic_net.e800.da4.pcie-4.70-1.3755.0-0_windows_x86-64-cfc
From ID:000211
#SPAR</t>
    <phoneticPr fontId="11" type="noConversion"/>
  </si>
  <si>
    <t>SN37A28379</t>
    <phoneticPr fontId="11" type="noConversion"/>
  </si>
  <si>
    <t xml:space="preserve">Version:
Flash Image Version 10.04.04（ FC Firmware v9.15.01）
FW_qlogic_FC_2690_2692_img10.04.04_b1_9.15.01_0-cfc
From ID:000647
#SPAR
</t>
  </si>
  <si>
    <t>SN37B08825</t>
    <phoneticPr fontId="11" type="noConversion"/>
  </si>
  <si>
    <t>Intel X710-T4L 10GBASE-T 4-Port PCIe Ethernet Adapter</t>
  </si>
  <si>
    <t>Version:9.53 0x8000F8CC 1.3755.0
intc-lnvgy_fw_nic_net-9.53-3.70-1.3755.0-0_linux_x86-64-cfc
From ID:000212
intc-lnvgy_fw_nic_net-9.53-3.70-1.3755.0-0_windows_x86-64-cfc
From ID:000213
#SPAR</t>
    <phoneticPr fontId="11" type="noConversion"/>
  </si>
  <si>
    <t>Version:2.28.7
intc-lnvgy_dd_nic_net-30.1.1-0_rhel9.6_x86-64-cfc
From ID:000605
#SPAR</t>
  </si>
  <si>
    <t>Version:2.28.7
intc-lnvgy_dd_nic_net-30.1.1-0_rhel10.0_x86-64-cfc
From ID:000610
#SPAR</t>
  </si>
  <si>
    <t>SN37A82260</t>
    <phoneticPr fontId="11" type="noConversion"/>
  </si>
  <si>
    <t>1104-80025</t>
  </si>
  <si>
    <t>Ramaxel X710-DA2 OCP 3.0 10Gb 2-Port SFP+ Ethernet Adapter</t>
  </si>
  <si>
    <t xml:space="preserve">Ramaxel </t>
    <phoneticPr fontId="11" type="noConversion"/>
  </si>
  <si>
    <r>
      <t>Version:</t>
    </r>
    <r>
      <rPr>
        <sz val="9"/>
        <color rgb="FFFF0000"/>
        <rFont val="Calibri"/>
        <scheme val="minor"/>
      </rPr>
      <t>9.30 0x8000eae3 1.3429.0</t>
    </r>
    <r>
      <rPr>
        <sz val="9"/>
        <rFont val="Calibri"/>
        <scheme val="minor"/>
      </rPr>
      <t xml:space="preserve">
Ramaxel_X710_9.30_1.3429.0
#DDMS</t>
    </r>
  </si>
  <si>
    <t>Version：net-28.2-2
intc-lnvgy_dd_nic_net-28.2-2_windows_x86-64 
OSS:138137</t>
  </si>
  <si>
    <t>Version:2.25.9
i40e-2.25.9.tar
#DDMS</t>
  </si>
  <si>
    <t>SN37A28488</t>
  </si>
  <si>
    <t>9001216022</t>
  </si>
  <si>
    <t>SiNEAD I350-C4 PCIe 1Gb 4-Port RJ45 Ethernet Adapter</t>
  </si>
  <si>
    <t xml:space="preserve">SiNEAD </t>
    <phoneticPr fontId="11" type="noConversion"/>
  </si>
  <si>
    <r>
      <t>Version:</t>
    </r>
    <r>
      <rPr>
        <sz val="9"/>
        <color rgb="FFFF0000"/>
        <rFont val="Calibri"/>
        <scheme val="minor"/>
      </rPr>
      <t>1.63, 0x800009fb, 1.2074.0</t>
    </r>
    <r>
      <rPr>
        <sz val="9"/>
        <color theme="1"/>
        <rFont val="Calibri"/>
        <scheme val="minor"/>
      </rPr>
      <t xml:space="preserve">
FW_Sinead_I350_C4_PCIE_1.63_new
#DDMS</t>
    </r>
  </si>
  <si>
    <t>Leverage SN37A28488结果</t>
  </si>
  <si>
    <t>NIC</t>
    <phoneticPr fontId="11" type="noConversion"/>
  </si>
  <si>
    <t>SN37A82181</t>
    <phoneticPr fontId="11" type="noConversion"/>
  </si>
  <si>
    <t>CFC</t>
    <phoneticPr fontId="11" type="noConversion"/>
  </si>
  <si>
    <t>MM#978333</t>
    <phoneticPr fontId="11" type="noConversion"/>
  </si>
  <si>
    <t>Intel E810-XXVDA2 25GbE SFP28 2-port PCIe Ethernet Adapter</t>
  </si>
  <si>
    <t>intel</t>
    <phoneticPr fontId="11" type="noConversion"/>
  </si>
  <si>
    <t>Version:4.70 0x8001F7BB 1.3755.0
intc-lnvgy_fw_nic_net.e800.da2.pcie-4.70-1.3755.0-0_linux_x86-64-cfc
From ID:000206
intc-lnvgy_fw_nic_net.e800.da2.pcie-4.70-1.3755.0-0_windows_x86-64-cfc
From ID:000207
#SPAR</t>
    <phoneticPr fontId="11" type="noConversion"/>
  </si>
  <si>
    <t>Sustaining 25-1</t>
    <phoneticPr fontId="11" type="noConversion"/>
  </si>
  <si>
    <t>SN37B92112</t>
    <phoneticPr fontId="11" type="noConversion"/>
  </si>
  <si>
    <t>GP</t>
    <phoneticPr fontId="11" type="noConversion"/>
  </si>
  <si>
    <t>ThinkSystem QLogic QLE2872 64Gb 2-Port PCIe Fibre Channel Adapter(Generic FW)</t>
    <phoneticPr fontId="11" type="noConversion"/>
  </si>
  <si>
    <t>Version：
Flash Image Version 10.10.04（ FC Firmware v9.15.06）
FW_qlogic_FC_2870_2872_img10.10.04_b1_9.15.06_0-cfc
From ID:000649
#SPAR</t>
  </si>
  <si>
    <t>SN37C13910</t>
    <phoneticPr fontId="11" type="noConversion"/>
  </si>
  <si>
    <t>Netswift FF5025-DDATACXX PCIe 25Gb 2-Port SFP+ Ethernet Adapter</t>
    <phoneticPr fontId="11" type="noConversion"/>
  </si>
  <si>
    <t>Netswift</t>
    <phoneticPr fontId="11" type="noConversion"/>
  </si>
  <si>
    <t>Version:0x30002052
Netswift-Invgy_fw_nic_FF5025-0x30002052_linux_x86-64-cfc
From ID:000363
#SPAR</t>
    <phoneticPr fontId="11" type="noConversion"/>
  </si>
  <si>
    <t>Version:1.3.0619.2025
NetSwift-lnvgy_dd_nic_txn63x64-1.3.0619.2025_windows_x86-64-cfc
From ID:000638
#SPAR</t>
  </si>
  <si>
    <t>Version:1.0.2
Wx-txgbe_1.0.2-1OEM.700.1.0.15843807_24619465-package-cfc
From ID:000364
#SPAR</t>
    <phoneticPr fontId="11" type="noConversion"/>
  </si>
  <si>
    <t>version:2.1.1
NetSwift-lnvgy_dd_nic_txgbe-2.1.1-0_linux_x86-64-cfc
From ID:000652
#SPAR</t>
    <phoneticPr fontId="11" type="noConversion"/>
  </si>
  <si>
    <t>DDList v1.9变更全部leverage WR5220 G3 DDListv1.9测试结果</t>
  </si>
  <si>
    <t>L2 Description</t>
    <phoneticPr fontId="8" type="noConversion"/>
  </si>
  <si>
    <t>RHEL 10</t>
    <phoneticPr fontId="8" type="noConversion"/>
  </si>
  <si>
    <t>Leverage WR5220 G3 v1.8测试结果</t>
  </si>
  <si>
    <r>
      <rPr>
        <sz val="9"/>
        <color rgb="FF000000"/>
        <rFont val="Calibri"/>
        <scheme val="minor"/>
      </rPr>
      <t xml:space="preserve">Version：33.125.07.00
lnvgy_fw_storehba_mpt3.5.440-33.125.07.00-0_linux_x86-64-cfc
FormID:000237
lnvgy_fw_storehba_mpt3.5.440-33.125.07.00-0-a_windows_x86-64-cfc
FormID:000238
#SPAR
</t>
    </r>
    <r>
      <rPr>
        <strike/>
        <sz val="9"/>
        <color rgb="FFFF0000"/>
        <rFont val="Calibri"/>
        <scheme val="minor"/>
      </rPr>
      <t>version:1.31
lnvgy_fw_psoc-1.31_x86-64-cfc
FormID:000235
#SPAR
(先刷FW再刷PSOC)</t>
    </r>
  </si>
  <si>
    <t>inbox</t>
    <phoneticPr fontId="8" type="noConversion"/>
  </si>
  <si>
    <t>Version:008.012.007.000
lnvgy_utl_raid_mr3.lsa-008.012.007.000-0_windows_x86-64-cfc
FormID:000249
lnvgy_utl_raid_mr3.lsa-008.012.007.000-0_vmware_x86-64-cfc
FormID:000250
lnvgy_utl_raid_mr3.lsa-008.012.007.000-2_linux_x86-64-cfc
FormID:000411
Version:007.3205.0000.0000
lnvgy_utl_raid_mr3.storcli-007.3205.0000.0000-0_windows_x86-64-cfc
FormID:000252
lnvgy_utl_raid_mr3.storcli-007.3205.0000.0000-0_vmware_x86-64-cfc
FormID:000253
lnvgy_utl_raid_mr3.storcli-007.3205.0000.0000-4_linux_x86-64-cfc
FormID:000380
#SPAR</t>
    <phoneticPr fontId="8" type="noConversion"/>
  </si>
  <si>
    <t>SN37A28455</t>
    <phoneticPr fontId="8" type="noConversion"/>
  </si>
  <si>
    <t>Qlogic</t>
    <phoneticPr fontId="8" type="noConversion"/>
  </si>
  <si>
    <t>DDListv1.9此卡FW再次升级，测试结果leverage v1.9</t>
  </si>
  <si>
    <t>Version：
Flash Image Version 10.09.05（ FC Firmware v9.15.03）
FW_qlogic_FC_2770_2772_img10.09.05_b1_9.15.03-cfc
From ID:000599
#SPAR</t>
  </si>
  <si>
    <t>SN37A28379</t>
    <phoneticPr fontId="8" type="noConversion"/>
  </si>
  <si>
    <t>Leverage WR5220 G3 v1.9测试结果</t>
  </si>
  <si>
    <t xml:space="preserve">Version:
Flash Image Version 10.04.04（ FC Firmware v9.15.01）
FW_qlogic_FC_2690_2692_img10.04.04_b1_9.15.01-cfc
From ID:000598
#SPAR
</t>
  </si>
  <si>
    <t>NIC</t>
    <phoneticPr fontId="8" type="noConversion"/>
  </si>
  <si>
    <t>SN37B92112</t>
    <phoneticPr fontId="8" type="noConversion"/>
  </si>
  <si>
    <t>GP</t>
    <phoneticPr fontId="8" type="noConversion"/>
  </si>
  <si>
    <t>ThinkSystem QLogic QLE2872 64Gb 2-Port PCIe Fibre Channel Adapter(Generic FW)</t>
    <phoneticPr fontId="8" type="noConversion"/>
  </si>
  <si>
    <t>Version：
Flash Image Version 10.09.05（ FC Firmware v9.15.03）
FW_qlogic_FC_2870_2872_img10.09.05_b1_9.15.03-cfc
From ID:000600
#SPAR</t>
  </si>
  <si>
    <t>Sustaining 25-1</t>
    <phoneticPr fontId="8" type="noConversion"/>
  </si>
  <si>
    <t>SN37C13910</t>
    <phoneticPr fontId="8" type="noConversion"/>
  </si>
  <si>
    <t>CFC</t>
    <phoneticPr fontId="8" type="noConversion"/>
  </si>
  <si>
    <t>Netswift FF5025-DDATACXX PCIe 25Gb 2-Port SFP+ Ethernet Adapter</t>
    <phoneticPr fontId="8" type="noConversion"/>
  </si>
  <si>
    <t>Netswift</t>
    <phoneticPr fontId="8" type="noConversion"/>
  </si>
  <si>
    <t>Version:0x30002052
Netswift-Invgy_fw_nic_FF5025-0x30002052_linux_x86-64-cfc
From ID:000363
#SPAR</t>
    <phoneticPr fontId="8" type="noConversion"/>
  </si>
  <si>
    <t>version:2.1.1
NetSwift-lnvgy_dd_nic_txgbe-2.1.1_linux_x86-64-cfc
From ID:000588
#SPAR</t>
    <phoneticPr fontId="8" type="noConversion"/>
  </si>
  <si>
    <t>DDList v1.8变更全部leverage WR5220 G3 DDListv1.9测试结果</t>
  </si>
  <si>
    <t>HDD</t>
    <phoneticPr fontId="0" type="noConversion"/>
  </si>
  <si>
    <t>SHD7B79110</t>
  </si>
  <si>
    <t>CFC</t>
    <phoneticPr fontId="0" type="noConversion"/>
  </si>
  <si>
    <t>MG10SDA200E</t>
    <phoneticPr fontId="0" type="noConversion"/>
  </si>
  <si>
    <t>Generic Toshiba MG10 MG10SDA200E 2TB 3.5" 7.2K SAS  512e 12G Hot Swap HDD</t>
    <phoneticPr fontId="0" type="noConversion"/>
  </si>
  <si>
    <t>Toshiba</t>
    <phoneticPr fontId="0" type="noConversion"/>
  </si>
  <si>
    <t>选一款验证下FW升级是否成功</t>
  </si>
  <si>
    <t xml:space="preserve">Version：0103
lnvgy_fw_drives_all-1.12.05_linux_x86-64-cfc 
Form ID:000550 
#SPAR </t>
  </si>
  <si>
    <t>inbox</t>
    <phoneticPr fontId="0" type="noConversion"/>
  </si>
  <si>
    <t>BMC 版本	6.1a.17	
UEFI 版本	kae154e-3.10	
FPGA 版本	2.7.0	
BP1 CPLD版本	2.4</t>
  </si>
  <si>
    <t>wave3</t>
    <phoneticPr fontId="0" type="noConversion"/>
  </si>
  <si>
    <t>SHD7B79109</t>
    <phoneticPr fontId="0" type="noConversion"/>
  </si>
  <si>
    <t>MG10SDA400E</t>
    <phoneticPr fontId="0" type="noConversion"/>
  </si>
  <si>
    <t>Generic Toshiba MG10 MG10SDA400E 4TB 3.5" 7.2K SAS  512e 12G Hot Swap HDD</t>
    <phoneticPr fontId="0" type="noConversion"/>
  </si>
  <si>
    <t>Toshiba</t>
  </si>
  <si>
    <t>SHD7B79108</t>
    <phoneticPr fontId="0" type="noConversion"/>
  </si>
  <si>
    <t>MG10SDA600E</t>
    <phoneticPr fontId="0" type="noConversion"/>
  </si>
  <si>
    <t>Generic Toshiba MG10 MG10SDA600E 6TB 3.5" 7.2K SAS  512e 12G Hot Swap HDD</t>
    <phoneticPr fontId="0" type="noConversion"/>
  </si>
  <si>
    <t>SHD7B79107</t>
    <phoneticPr fontId="0" type="noConversion"/>
  </si>
  <si>
    <t>MG10SDA800E</t>
    <phoneticPr fontId="0" type="noConversion"/>
  </si>
  <si>
    <t>Generic Toshiba MG10 MG10SDA800E 8TB 3.5" 7.2K SAS  512e 12G Hot Swap HDD</t>
    <phoneticPr fontId="0" type="noConversion"/>
  </si>
  <si>
    <t>SHD7B79106</t>
    <phoneticPr fontId="0" type="noConversion"/>
  </si>
  <si>
    <t>MG10SDA10TE</t>
    <phoneticPr fontId="0" type="noConversion"/>
  </si>
  <si>
    <t>Generic Toshiba MG10 MG10SDA10TE 10TB 3.5" 7.2K SAS  512e 12G Hot Swap HDD</t>
    <phoneticPr fontId="0" type="noConversion"/>
  </si>
  <si>
    <t>SHD7B79104</t>
    <phoneticPr fontId="0" type="noConversion"/>
  </si>
  <si>
    <t>MG10ADA200E</t>
    <phoneticPr fontId="0" type="noConversion"/>
  </si>
  <si>
    <t>Generic Toshiba MG10 MG10ADA200E 2TB 3.5" 7.2K SATA 512e 6G Hot Swap  HDD</t>
    <phoneticPr fontId="0" type="noConversion"/>
  </si>
  <si>
    <t xml:space="preserve">Version:4302
lnvgy_fw_drives_all-1.12.05_linux_x86-64-cfc 
Form ID:000550 
#SPAR </t>
  </si>
  <si>
    <t>SHD7B79103</t>
    <phoneticPr fontId="0" type="noConversion"/>
  </si>
  <si>
    <t>MG10ADA400E</t>
    <phoneticPr fontId="0" type="noConversion"/>
  </si>
  <si>
    <t>Generic Toshiba MG10 MG10ADA400E 4TB 3.5" 7.2K SATA 512e 6G Hot Swap  HDD</t>
    <phoneticPr fontId="0" type="noConversion"/>
  </si>
  <si>
    <t>SHD7B79102</t>
    <phoneticPr fontId="0" type="noConversion"/>
  </si>
  <si>
    <t>MG10ADA600E</t>
  </si>
  <si>
    <t>Generic Toshiba MG10 MG10ADA600E 6TB 3.5" 7.2K SATA 512e 6G Hot Swap  HDD</t>
    <phoneticPr fontId="0" type="noConversion"/>
  </si>
  <si>
    <t>SHD7B79101</t>
    <phoneticPr fontId="0" type="noConversion"/>
  </si>
  <si>
    <t>MG10ADA800E</t>
  </si>
  <si>
    <t>Generic Toshiba MG10 MG10ADA800E 8TB 3.5" 7.2K SATA 512e 6G Hot Swap  HDD</t>
    <phoneticPr fontId="0" type="noConversion"/>
  </si>
  <si>
    <t>SHD7B79100</t>
  </si>
  <si>
    <t>MG10ADA10TE</t>
  </si>
  <si>
    <t>Generic Toshiba MG10 MG10ADA10TE 10TB 3.5" 7.2K SATA 512e 6G Hot Swap HDD</t>
    <phoneticPr fontId="0" type="noConversion"/>
  </si>
  <si>
    <t>SSD</t>
    <phoneticPr fontId="0" type="noConversion"/>
  </si>
  <si>
    <t>SSS7B80080</t>
    <phoneticPr fontId="0" type="noConversion"/>
  </si>
  <si>
    <t>UP2091T9SK015LX</t>
    <phoneticPr fontId="0" type="noConversion"/>
  </si>
  <si>
    <t>Generic,ThinkSystem 2.5" U.2 UH712a 1.92TB Read Intensive NVMe PCIe 5.0 x4 HS SSD</t>
    <phoneticPr fontId="0" type="noConversion"/>
  </si>
  <si>
    <t>HW Agile Cover，PA无需测试</t>
  </si>
  <si>
    <r>
      <t>Version:</t>
    </r>
    <r>
      <rPr>
        <sz val="9"/>
        <color rgb="FFFF0000"/>
        <rFont val="Calibri"/>
        <scheme val="minor"/>
      </rPr>
      <t>1081</t>
    </r>
    <r>
      <rPr>
        <sz val="9"/>
        <color theme="1"/>
        <rFont val="Calibri"/>
        <scheme val="minor"/>
      </rPr>
      <t xml:space="preserve">
lnvgy_fw_drives_all-1.12.05_linux_x86-64-cfc 
Form ID:000550
#SPAR </t>
    </r>
  </si>
  <si>
    <t>Agile A2501</t>
    <phoneticPr fontId="0" type="noConversion"/>
  </si>
  <si>
    <t>SSS7B80083</t>
    <phoneticPr fontId="0" type="noConversion"/>
  </si>
  <si>
    <t>UP2093T8SK015LX</t>
    <phoneticPr fontId="0" type="noConversion"/>
  </si>
  <si>
    <t>Generic,ThinkSystem 2.5" U.2 UH712a 3.84TB Read Intensive NVMe PCIe 5.0 x4 HS SSD</t>
  </si>
  <si>
    <t>SSS7B80086</t>
    <phoneticPr fontId="0" type="noConversion"/>
  </si>
  <si>
    <t>UP2097T6SK015LX</t>
    <phoneticPr fontId="0" type="noConversion"/>
  </si>
  <si>
    <t>Generic,ThinkSystem 2.5" U.2 UH712a 7.68TB Read Intensive NVMe PCIe 5.0 x4 HS SSD</t>
  </si>
  <si>
    <t>SSS7B80089</t>
    <phoneticPr fontId="0" type="noConversion"/>
  </si>
  <si>
    <t>UP20915TSK015LX</t>
    <phoneticPr fontId="0" type="noConversion"/>
  </si>
  <si>
    <t>Generic,ThinkSystem 2.5" U.2 UH712a 15.36TB Read Intensive NVMe PCIe 5.0 x4 HS SSD</t>
  </si>
  <si>
    <t>SHD7B75640</t>
  </si>
  <si>
    <t>ST12000NM005H</t>
    <phoneticPr fontId="0" type="noConversion"/>
  </si>
  <si>
    <t>Generic Seagate Summit 12T ST12000NM005H 3.5" 7.2K SAS 12G SED Hot Swap 512e HDD</t>
  </si>
  <si>
    <r>
      <rPr>
        <sz val="9"/>
        <color rgb="FF000000"/>
        <rFont val="Calibri"/>
        <scheme val="minor"/>
      </rPr>
      <t>选一款测试，</t>
    </r>
    <r>
      <rPr>
        <sz val="9"/>
        <color rgb="FFFF0000"/>
        <rFont val="Calibri"/>
        <scheme val="minor"/>
      </rPr>
      <t>深圳无料</t>
    </r>
  </si>
  <si>
    <t xml:space="preserve">Version:  FT06
lnvgy_fw_drives_all-1.12.05_linux_x86-64-cfc 
Form ID:000550 
#SPAR </t>
  </si>
  <si>
    <t>Y</t>
  </si>
  <si>
    <t>SHD7B75638</t>
  </si>
  <si>
    <t>ST16000NM005H</t>
  </si>
  <si>
    <t>Generic Seagate Summit 16T ST16000NM005H 3.5" 7.2K SAS 12G SED Hot Swap 512e HDD</t>
  </si>
  <si>
    <t>SHD7B75636</t>
  </si>
  <si>
    <t>ST20000NM005H</t>
    <phoneticPr fontId="0" type="noConversion"/>
  </si>
  <si>
    <t>Generic Seagate Summit 20T ST20000NM005H 3.5" 7.2K SAS 12G SED Hot Swap 512e HDD</t>
  </si>
  <si>
    <t>SHD7B75637</t>
  </si>
  <si>
    <t>ST16000NM001H</t>
    <phoneticPr fontId="0" type="noConversion"/>
  </si>
  <si>
    <t>Generic Seagate Summit 16T ST16000NM001H 3.5" 7.2K SATA 6G SED Hot Swap 512e HDD</t>
  </si>
  <si>
    <t>选一款测试</t>
  </si>
  <si>
    <t xml:space="preserve">Version:  RS06
lnvgy_fw_drives_all-1.12.05_linux_x86-64-cfc 
Form ID:000550 
#SPAR </t>
  </si>
  <si>
    <t>SHD7B75639</t>
  </si>
  <si>
    <t>ST12000NM001H</t>
    <phoneticPr fontId="0" type="noConversion"/>
  </si>
  <si>
    <t>Generic Seagate Summit 12T ST12000NM001H 3.5" 7.2K SATA 6G SED Hot Swap 512e HDD</t>
  </si>
  <si>
    <t>SHD7B75635</t>
  </si>
  <si>
    <t>ST20000NM001H</t>
    <phoneticPr fontId="0" type="noConversion"/>
  </si>
  <si>
    <t>Generic Seagate Summit 20T ST20000NM001H 3.5" 7.2K SATA 6G SED Hot Swap 512e HDD</t>
  </si>
  <si>
    <t xml:space="preserve">Mellanox </t>
    <phoneticPr fontId="0" type="noConversion"/>
  </si>
  <si>
    <t>Version:26.43.2566
mlnx-lnvgy_fw_nic_c4c_xx.43.2566_1_linux_x86-64-cfc
FormID:000467
mlnx-lnvgy_fw_nic_c4c_xx.43.2566_1_windows_x86-64-cfc
FormID:000468
#SPAR</t>
    <phoneticPr fontId="0" type="noConversion"/>
  </si>
  <si>
    <t>Version:25.1.26647.0
MLNX_WinOF2-25_1_50020_All_x64-cfc.exe
FormID:000269
#SPAR</t>
    <phoneticPr fontId="0" type="noConversion"/>
  </si>
  <si>
    <t>4.30.1-113
mft-4.30.1-113-x86_64-cfc
FormID:000307
#SPAR</t>
    <phoneticPr fontId="0" type="noConversion"/>
  </si>
  <si>
    <t>Version:22.43.2566
mlnx-lnvgy_fw_nic_c4c_xx.43.2566_1_linux_x86-64-cfc
FormID:000467
mlnx-lnvgy_fw_nic_c4c_xx.43.2566_1_windows_x86-64-cfc
FormID:000468
#SPAR</t>
    <phoneticPr fontId="0" type="noConversion"/>
  </si>
  <si>
    <t>Version:28.43.2566
mlnx-lnvgy_fw_nic_c4c_xx.43.2566_1_linux_x86-64-cfc
FormID:000467
mlnx-lnvgy_fw_nic_c4c_xx.43.2566_1_windows_x86-64-cfc
FormID:000468
#SPAR</t>
    <phoneticPr fontId="0" type="noConversion"/>
  </si>
  <si>
    <t>leverage SN37A28327结果</t>
  </si>
  <si>
    <t>SHD7B79110</t>
    <phoneticPr fontId="0" type="noConversion"/>
  </si>
  <si>
    <t>IO负责测试</t>
  </si>
  <si>
    <t>wave3（未加AVL，但在wave3测试scope中）</t>
  </si>
  <si>
    <t>MCX713104AS-ADAT</t>
    <phoneticPr fontId="0" type="noConversion"/>
  </si>
  <si>
    <t>ThinkSystem Nvidia ConnectX-7 10/25GbE SFP28 4-Port PCIe Ethernet Adapter(Generic)</t>
    <phoneticPr fontId="0" type="noConversion"/>
  </si>
  <si>
    <t>leverage SN37B06010结果</t>
  </si>
  <si>
    <t>Version:25.1.26647.0
MLNX_WinOF2-25_1_50020_All_x64-cfc.exe
FormID:000269
#SPAR</t>
  </si>
  <si>
    <r>
      <rPr>
        <sz val="10"/>
        <rFont val="Calibri"/>
        <family val="2"/>
      </rPr>
      <t>Ubuntu 22.04.5 HWE</t>
    </r>
    <r>
      <rPr>
        <sz val="10"/>
        <rFont val="微软雅黑"/>
        <family val="2"/>
        <charset val="134"/>
      </rPr>
      <t>（</t>
    </r>
    <r>
      <rPr>
        <sz val="10"/>
        <rFont val="Calibri"/>
        <family val="2"/>
      </rPr>
      <t>Kernel V6.8</t>
    </r>
    <r>
      <rPr>
        <sz val="10"/>
        <rFont val="微软雅黑"/>
        <family val="2"/>
        <charset val="134"/>
      </rPr>
      <t>）</t>
    </r>
  </si>
  <si>
    <t>SR17B82564</t>
    <phoneticPr fontId="0" type="noConversion"/>
  </si>
  <si>
    <t>ThinkSystem M.2 RAID B545i-2i SATA/NVMe Enablement Kit</t>
    <phoneticPr fontId="0" type="noConversion"/>
  </si>
  <si>
    <t>LCFC</t>
    <phoneticPr fontId="0" type="noConversion"/>
  </si>
  <si>
    <t>Leverage WR5220 G3 DDlist_V1.5测试结果</t>
  </si>
  <si>
    <t>Version:52.32.0-5988
lnvgy_fw_raid_mr3.5.b545-52.32.0-5988-2_linux_x86-64-cfc
FormID:000530
lnvgy_fw_raid_mr3.5.b545-52.32.0-5988-2_windows_x86-64-cfc
FormID: 000531
#SPAR
Version:7
lnvgy_fw_psoc_fwid186_07_anyos_noarch-cfc
FormID: 000067
#SPAR</t>
  </si>
  <si>
    <t>Version:008.012.007.000
lnvgy_utl_raid_mr3.lsa-008.012.007.000-0_windows_x86-64-cfc
FormID:000249
lnvgy_utl_raid_mr3.lsa-008.012.007.000-0_vmware_x86-64-cfc
FormID:000250
lnvgy_utl_raid_mr3.lsa-008.012.007.000-2_linux_x86-64-cfc
FormID:000411
Version:007.3205.0000.0000
lnvgy_utl_raid_mr3.storcli-007.3205.0000.0000-0_windows_x86-64-cfc
FormID:000252
lnvgy_utl_raid_mr3.storcli-007.3205.0000.0000-0_vmware_x86-64-cfc
FormID:000253
lnvgy_utl_raid_mr3.storcli-007.3205.0000.0000-4_linux_x86-64-cfc
FormID:000380
#SPAR</t>
    <phoneticPr fontId="0" type="noConversion"/>
  </si>
  <si>
    <t>SR17B71473</t>
  </si>
  <si>
    <t>ThinkSystem M.2 RAID B540p-2HS SATA/NVMe Enablement Kit</t>
  </si>
  <si>
    <t>Version:52.32.0-5988
lnvgy_fw_raid_mr3.5.b540-52.32.0-5988-2_linux_x86-64-cfc
FormID: 000528
lnvgy_fw_raid_mr3.5.b540-52.32.0-5988-2_windows_x86-64-cfc
FormID:000529
#SPAR
Version:7
lnvgy_fw_psoc_fwid186_07_anyos_noarch-cfc
FormID: 000067
#SPAR</t>
  </si>
  <si>
    <r>
      <rPr>
        <sz val="10"/>
        <color rgb="FF000000"/>
        <rFont val="Calibri"/>
      </rPr>
      <t>Version</t>
    </r>
    <r>
      <rPr>
        <sz val="10"/>
        <color rgb="FF000000"/>
        <rFont val="等线"/>
      </rPr>
      <t>：</t>
    </r>
    <r>
      <rPr>
        <sz val="10"/>
        <color rgb="FF000000"/>
        <rFont val="Calibri"/>
      </rPr>
      <t>7.732.03.00
lnvgy_dd_raid_mr3.5-7.732.03.00-8_windows_x86-64-cfc
FormID:000240
#SPAR</t>
    </r>
  </si>
  <si>
    <t>SSS7B96072</t>
  </si>
  <si>
    <t>P8118ZM22150</t>
    <phoneticPr fontId="0" type="noConversion"/>
  </si>
  <si>
    <t>Generic M.2 PetaIO P8118Z 960GB NVMe PCIe 4.0 SSD</t>
    <phoneticPr fontId="0" type="noConversion"/>
  </si>
  <si>
    <t xml:space="preserve">PetaIO </t>
    <phoneticPr fontId="0" type="noConversion"/>
  </si>
  <si>
    <t>Agile测试scope，由BB Cover</t>
  </si>
  <si>
    <t xml:space="preserve">Version：P2LX0301  
lnvgy_fw_drives_all-1.12.04_linux_x86-64-cfc
Form ID:000506
#SPAR </t>
  </si>
  <si>
    <t>L2 Description</t>
    <phoneticPr fontId="53" type="noConversion"/>
  </si>
  <si>
    <t>测试人员</t>
  </si>
  <si>
    <t>Windows Server2022</t>
    <phoneticPr fontId="53" type="noConversion"/>
  </si>
  <si>
    <t>Windows Server2025</t>
    <phoneticPr fontId="53" type="noConversion"/>
  </si>
  <si>
    <t>Vmware ESXi 8.0  U3</t>
  </si>
  <si>
    <t xml:space="preserve">Vmware ESXi 9.0  </t>
    <phoneticPr fontId="53" type="noConversion"/>
  </si>
  <si>
    <t>RHEL 9.4</t>
    <phoneticPr fontId="53" type="noConversion"/>
  </si>
  <si>
    <t>RHEL 9.5</t>
    <phoneticPr fontId="53" type="noConversion"/>
  </si>
  <si>
    <t>RHEL 9.6</t>
    <phoneticPr fontId="53" type="noConversion"/>
  </si>
  <si>
    <t>RHEL 10</t>
    <phoneticPr fontId="53" type="noConversion"/>
  </si>
  <si>
    <t>Ubuntu 24.04 LTS GA</t>
    <phoneticPr fontId="53" type="noConversion"/>
  </si>
  <si>
    <t>Ubuntu 24.04.2</t>
    <phoneticPr fontId="53" type="noConversion"/>
  </si>
  <si>
    <t>ThinkSystem NVIDIA A10 24GB PCIe Gen4 Passive GPU w/o CEC</t>
  </si>
  <si>
    <t>伊敏</t>
  </si>
  <si>
    <t>Version：94.02.91.00.02
nvda-lnvgy_fw_gpu_A10-94.02.91.00.02-cfc
From ID: 000389
#SPAR</t>
  </si>
  <si>
    <t xml:space="preserve">Version:572.61
https://www.nvidia.cn/drivers/details/241407/
#Link
</t>
    <phoneticPr fontId="53" type="noConversion"/>
  </si>
  <si>
    <t>Version: 	535.154.02
NVIDIA-GRID-vSphere-8.0-535.154.02-535.154.05-538.15
#DDMS</t>
  </si>
  <si>
    <t>N/A</t>
    <phoneticPr fontId="53" type="noConversion"/>
  </si>
  <si>
    <t xml:space="preserve">Version：560.35.03
https://www.nvidia.cn/drivers/details/231063/
 </t>
  </si>
  <si>
    <t xml:space="preserve">Version:0x8000184A, 1.3052.0
intc-lnvgy_fw_nic_net-9.53-3.70-1.3755.0-2_linux_x86-64-cfc
From ID:000515
intc-lnvgy_fw_nic_net-9.53-3.70-1.3755.0-2_windows_x86-64-cfc
From ID:000516
#SPAR </t>
  </si>
  <si>
    <t>Version:6.0.6
intc-lnvgy_dd_nic_net-30.0.1-2_rhel9_x86-64-cfc
From ID:000434
#SPAR</t>
    <phoneticPr fontId="53" type="noConversion"/>
  </si>
  <si>
    <t>NIC</t>
    <phoneticPr fontId="53" type="noConversion"/>
  </si>
  <si>
    <t>SN37C13910</t>
    <phoneticPr fontId="53" type="noConversion"/>
  </si>
  <si>
    <t>CFC</t>
    <phoneticPr fontId="53" type="noConversion"/>
  </si>
  <si>
    <t>Netswift</t>
    <phoneticPr fontId="53" type="noConversion"/>
  </si>
  <si>
    <t>Plan to support in June</t>
    <phoneticPr fontId="53" type="noConversion"/>
  </si>
  <si>
    <t>Version:1.0.2
Wx-txgbe_1.0.2-1OEM.700.1.0.15843807_24619465-package-cfc
From ID:000364
#SPAR</t>
  </si>
  <si>
    <t>version:2.1.0
Swift-lnvgy_dd_nic_txgbe-2.1.0_linux_x86-64-cfc
From ID:000350
#SPAR</t>
    <phoneticPr fontId="53" type="noConversion"/>
  </si>
  <si>
    <t>Version:2.1.1rc1
NetSwift-lnvgy_dd_nic_txgbe-2.1.1rc1_linux_x86-64-cfc
From ID:000500
#SPAR</t>
  </si>
  <si>
    <t>Sustaining 25-1</t>
    <phoneticPr fontId="53" type="noConversion"/>
  </si>
  <si>
    <t>20250515</t>
    <phoneticPr fontId="53" type="noConversion"/>
  </si>
  <si>
    <t>SSS7B96070</t>
  </si>
  <si>
    <t>PJ1-GW960P</t>
    <phoneticPr fontId="0" type="noConversion"/>
  </si>
  <si>
    <t>Agile测试，PA无需测试</t>
  </si>
  <si>
    <t xml:space="preserve">Version：FG25202
lnvgy_fw_drives_all-1.12.03_linux_x86-64-cfc 
Form ID:000449 
#SPAR </t>
  </si>
  <si>
    <t>SSS7B81380</t>
    <phoneticPr fontId="0" type="noConversion"/>
  </si>
  <si>
    <t>UP2091T9HK015LX</t>
    <phoneticPr fontId="0" type="noConversion"/>
  </si>
  <si>
    <t>Generic UnionMemory UH812a YMTC 2.5" U.2 1.92TB NVMe SSD</t>
  </si>
  <si>
    <t xml:space="preserve">Version: 1080
lnvgy_fw_drives_all-1.12.03_linux_x86-64-cfc 
Form ID:000449 
#SPAR </t>
  </si>
  <si>
    <t>SSS7B81381</t>
    <phoneticPr fontId="0" type="noConversion"/>
  </si>
  <si>
    <t>UP2093T8HK015LX</t>
    <phoneticPr fontId="0" type="noConversion"/>
  </si>
  <si>
    <t>Generic UnionMemory UH812a YMTC 2.5" U.2 3.84TB NVMe SSD</t>
  </si>
  <si>
    <t>SSS7B81382</t>
    <phoneticPr fontId="0" type="noConversion"/>
  </si>
  <si>
    <t>UP2097T6HK015LX</t>
    <phoneticPr fontId="0" type="noConversion"/>
  </si>
  <si>
    <t>Generic UnionMemory UH812a YMTC 2.5" U.2 7.68TB NVMe SSD</t>
  </si>
  <si>
    <t>SSS7B81386</t>
    <phoneticPr fontId="0" type="noConversion"/>
  </si>
  <si>
    <t>UP2091T6HK015VX</t>
    <phoneticPr fontId="0" type="noConversion"/>
  </si>
  <si>
    <t>Generic UnionMemory UH832a YMTC 2.5" U.2 1.6T NVMe SSD</t>
  </si>
  <si>
    <t>SSS7B81387</t>
    <phoneticPr fontId="0" type="noConversion"/>
  </si>
  <si>
    <t>UP2093T2HK015VX</t>
    <phoneticPr fontId="0" type="noConversion"/>
  </si>
  <si>
    <t>Generic UnionMemory UH832a YMTC 2.5" U.2 3.2TB NVMe SSD</t>
  </si>
  <si>
    <t>SSS7B81388</t>
    <phoneticPr fontId="0" type="noConversion"/>
  </si>
  <si>
    <t>UP2096T4HK015VX</t>
    <phoneticPr fontId="0" type="noConversion"/>
  </si>
  <si>
    <t>Generic UnionMemory UH832a YMTC 2.5" U.2 6.4TB NVMe SSD</t>
  </si>
  <si>
    <t>SSS7B85680</t>
    <phoneticPr fontId="0" type="noConversion"/>
  </si>
  <si>
    <t>UP20915THK015LX</t>
    <phoneticPr fontId="0" type="noConversion"/>
  </si>
  <si>
    <t>Generic UnionMemory UH812a YMTC 2.5" U.2 15.36TB NVMe SSD</t>
  </si>
  <si>
    <t>SSS7B85681</t>
    <phoneticPr fontId="0" type="noConversion"/>
  </si>
  <si>
    <t>UP20912THK015VX</t>
    <phoneticPr fontId="0" type="noConversion"/>
  </si>
  <si>
    <t>Generic UnionMemory UH832a YMTC 2.5" U.2 12.8TB NVMe SSD</t>
  </si>
  <si>
    <t>SSS7B84632</t>
    <phoneticPr fontId="0" type="noConversion"/>
  </si>
  <si>
    <t>S2000E-YE2-U2A01T9</t>
    <phoneticPr fontId="0" type="noConversion"/>
  </si>
  <si>
    <t>Starblaze U.2 STAR2000E S2000E-YE2-U2A01T9 1.92TB PCIe 4.0 NVMe SSD</t>
  </si>
  <si>
    <t>Starblaze</t>
    <phoneticPr fontId="0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</si>
  <si>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1.4.7d
lnvgy_fw_starblaze_2000e_nvme_1.4.7d
Form ID:000420
#SPAR</t>
    </r>
  </si>
  <si>
    <t>SSS7B84633</t>
    <phoneticPr fontId="0" type="noConversion"/>
  </si>
  <si>
    <t>S2000E-YE2-U2A03T8</t>
    <phoneticPr fontId="0" type="noConversion"/>
  </si>
  <si>
    <t>Starblaze U.2 STAR2000E S2000E-YE2-U2A03T8 3.84TB PCIe 4.0 NVMe SSD</t>
  </si>
  <si>
    <t>SSS7B84634</t>
    <phoneticPr fontId="0" type="noConversion"/>
  </si>
  <si>
    <t>S2000E-YE2-U2A07T6</t>
    <phoneticPr fontId="0" type="noConversion"/>
  </si>
  <si>
    <t>Starblaze U.2 STAR2000E S2000E-YE2-U2A07T6 7.68TB PCIe 4.0 NVMe SSD</t>
  </si>
  <si>
    <t>Date</t>
    <phoneticPr fontId="5" type="noConversion"/>
  </si>
  <si>
    <t>Config</t>
    <phoneticPr fontId="5" type="noConversion"/>
  </si>
  <si>
    <t>CFG1-1</t>
  </si>
  <si>
    <t>CFG1-2</t>
  </si>
  <si>
    <t>CFG1-3</t>
  </si>
  <si>
    <t>CFG2-1</t>
  </si>
  <si>
    <t>CFG2-2</t>
  </si>
  <si>
    <t>CFG 2-4</t>
  </si>
  <si>
    <t>CFG 1-4</t>
  </si>
  <si>
    <t>BMC/BIOS/FPGA</t>
  </si>
  <si>
    <t>BMC 版本	6.1a.13	
UEFI 版本	kae152a-3.08	
FPGA 版本	2.4.0	
BP1 CPLD版本	2.4	
OS 版本	rhel9.6
Config：CFG1-1</t>
  </si>
  <si>
    <t>BMC 版本	6.1a.13	
UEFI 版本	kae152a-3.08	
FPGA 版本	2.4.0	
BP1 CPLD版本	2.4	
OS 版本	rhel9.6
Config：CFG1-2</t>
  </si>
  <si>
    <t>BMC 版本	6.1a.13	
UEFI 版本	kae152a-3.08	
FPGA 版本	2.4.0	
BP1 CPLD版本	2.4	
OS 版本	rhel9.6</t>
  </si>
  <si>
    <t>BMC 版本	6.1a.14	
UEFI 版本	kae154a-3.10	
FPGA 版本	2.4.0	
BP3 CPLD版本	3.4
OS 版本	ubuntu24.04.2</t>
  </si>
  <si>
    <t>BMC 版本	6.1a.14	
UEFI 版本	kae154a-3.10	
FPGA 版本	2.4.0	
BP3 CPLD版本	3.4
OS 版本	rhel9.6</t>
  </si>
  <si>
    <t>BMC 版本	6.1a.15	
UEFI 版本	kae154b-3.10	
FPGA 版本	2.5.0	
BP3 CPLD版本	3.4
os  windows2025</t>
  </si>
  <si>
    <t>Reboot测试</t>
  </si>
  <si>
    <t>cfc-289 : Linux下reboot测试</t>
  </si>
  <si>
    <t>cfc-290 : Windows下reboot测试</t>
  </si>
  <si>
    <t>DC测试</t>
  </si>
  <si>
    <t>cfc-293 : Linux下DC测试-BMC remote ipmitool power on</t>
  </si>
  <si>
    <t>cfc-1187 : Linux下DC测试-BMC remote ipmitool power cycle</t>
  </si>
  <si>
    <t>cfc-1188 : Windows下DC测试-治具power on</t>
  </si>
  <si>
    <t>cfc-1189 : Windows下DC测试-BMC remote ipmitool power on</t>
  </si>
  <si>
    <t>cfc-1190 : Windows下DC测试-coldreboot</t>
  </si>
  <si>
    <t>AC测试</t>
  </si>
  <si>
    <t>cfc-1191 : Linux下AC测试-治具_BMC remote ipmitool power on</t>
  </si>
  <si>
    <t>cfc-1192 : Linux下AC测试-治具_BIOS auto poweron</t>
  </si>
  <si>
    <t>cfc-1193 : Linux下异常AC测试-治具_BIOS auto poweron</t>
  </si>
  <si>
    <t>cfc-1194 : Windows下异常AC测试-治具_BIOS auto poweron</t>
  </si>
  <si>
    <t>cfc-1195 : windows下AC测试-治具_BIOS auto poweron</t>
  </si>
  <si>
    <t>静置</t>
  </si>
  <si>
    <t>OS idea overnight</t>
    <phoneticPr fontId="5" type="noConversion"/>
  </si>
  <si>
    <t>CFG1</t>
    <phoneticPr fontId="5" type="noConversion"/>
  </si>
  <si>
    <t>Type</t>
    <phoneticPr fontId="5" type="noConversion"/>
  </si>
  <si>
    <t>详细描述</t>
  </si>
  <si>
    <t>Riser Slot</t>
  </si>
  <si>
    <t>数量</t>
  </si>
  <si>
    <t>FW版本</t>
  </si>
  <si>
    <t>厂商</t>
  </si>
  <si>
    <t>MB</t>
  </si>
  <si>
    <t>SB27B91241</t>
  </si>
  <si>
    <t>MB+BMC Card_7PH 500W</t>
  </si>
  <si>
    <t>BMC Board</t>
  </si>
  <si>
    <t>SC57B92254</t>
  </si>
  <si>
    <t>WR525G3 PCBA BMC card_SVT</t>
  </si>
  <si>
    <t>BP</t>
  </si>
  <si>
    <t>STA7B06574</t>
  </si>
  <si>
    <t>12*3.5 SAS3/SATA</t>
  </si>
  <si>
    <t>power cable</t>
  </si>
  <si>
    <t>SC17B22888</t>
  </si>
  <si>
    <t>Cable-Power3.0mm 2X8 to 3.0mm 2X8 560mm SDV</t>
  </si>
  <si>
    <t>CPU</t>
  </si>
  <si>
    <t>SSA7B27154</t>
  </si>
  <si>
    <t>AMD EPYC SP5 TURIN Dense 9745, 128C 400W 2.2-2.4G 256MB, DDR5_6000, PCIe5 128 lanes, CXL 2.0, 64 Bit Microprocessors, PR sample for qualification only. 100-000001460-00</t>
  </si>
  <si>
    <t>HeatSink</t>
  </si>
  <si>
    <t>SH47B78609</t>
  </si>
  <si>
    <t>WR5225 G3 air cooling 2U standard heatpipe CPU Heatsink</t>
  </si>
  <si>
    <t>DIMM</t>
  </si>
  <si>
    <t>SM37B77557</t>
  </si>
  <si>
    <t>Hynix 32GB DDR5 6400MHz (1Rx4) 10x4 16Gbit RDIMM</t>
  </si>
  <si>
    <t>Riser1&amp;2</t>
  </si>
  <si>
    <t>SC57B81146</t>
  </si>
  <si>
    <t>WR5225 G3 Riser 1-2-G_X16X8X8 GEN5 with Redriver</t>
  </si>
  <si>
    <t>SC57B06571</t>
  </si>
  <si>
    <t>V3 Riser-1-2-C_X16X16
Riser2 (BPS3) is used as Gen4 on AMD Genoa CPU, used as Gen5 on AMD Turin CPU and Intel CPU</t>
  </si>
  <si>
    <t>Riser3</t>
  </si>
  <si>
    <t>SC57A85234</t>
  </si>
  <si>
    <t>V2 Riser 3_X16X16 GEN4</t>
  </si>
  <si>
    <t>Riser Cage</t>
  </si>
  <si>
    <t>SM27A87001</t>
  </si>
  <si>
    <t>2U MS 3FH Riser Cage</t>
  </si>
  <si>
    <t>sideband</t>
  </si>
  <si>
    <t>SC17A68065</t>
  </si>
  <si>
    <t>Cable-Low Speed-2X5 to 2x5-200mm, 1pcs</t>
  </si>
  <si>
    <t>SC17B86988</t>
  </si>
  <si>
    <t>Cable-Power-3.0mm 2x6（P1)TO 4.2mm 2x4(P2)-330mm 1pcs</t>
  </si>
  <si>
    <t>slimline cable</t>
  </si>
  <si>
    <t>SC17B79707</t>
  </si>
  <si>
    <t>CABLE-MCIO X8 RA(P1) TO SLIMSAS X8 VT(P2)-PCIE4.0-705MM 1pcs</t>
  </si>
  <si>
    <t>SC17B86983</t>
  </si>
  <si>
    <t>CABLE-MCIO X8 RA(P1) TO SLIMSAS X8 VT(P2)-PCIE4.0-565MM 1pcs</t>
  </si>
  <si>
    <t>SC17B79709</t>
  </si>
  <si>
    <t>CABLE-MCIO X8 RA(P1) TO SLIMSAS X8 VT(P2) -PCIE4.0-275MM 1pcs</t>
  </si>
  <si>
    <t>SC17B86985</t>
  </si>
  <si>
    <t>CABLE-MCIO X8 RA(P1) TO SLIMSAS X8 VT(P2) -PCIE4.0-180MM 1pcs</t>
  </si>
  <si>
    <t>风扇-单转子</t>
  </si>
  <si>
    <t>SF17A56080</t>
  </si>
  <si>
    <t>SR660V2 AVC 8038 Fan</t>
  </si>
  <si>
    <t>PSU</t>
  </si>
  <si>
    <t>SP57A89414</t>
  </si>
  <si>
    <t>Greatwall-GW-CRPS800N2WM_CRPS 800W PT</t>
  </si>
  <si>
    <t>RAID</t>
  </si>
  <si>
    <t>540-16i</t>
  </si>
  <si>
    <t>SC17B22787</t>
  </si>
  <si>
    <t>Y SLIMSAS 8X VT(P1) VT to 2xSLIMSAS 4X RA(P2-P3) 900-750mm cable</t>
  </si>
  <si>
    <t>SSD-SATA</t>
  </si>
  <si>
    <t>SSS7B03082</t>
  </si>
  <si>
    <t>PM1653 1.92TB Entry SAS 24Gb Hot Swap SSD  固态硬盘--SSS7B03082</t>
  </si>
  <si>
    <t>GPU</t>
    <phoneticPr fontId="5" type="noConversion"/>
  </si>
  <si>
    <t>SG27B23466</t>
    <phoneticPr fontId="5" type="noConversion"/>
  </si>
  <si>
    <t>SG27B81790</t>
    <phoneticPr fontId="5" type="noConversion"/>
  </si>
  <si>
    <t>SHD7A74397</t>
    <phoneticPr fontId="5" type="noConversion"/>
  </si>
  <si>
    <t>SN37A28513</t>
    <phoneticPr fontId="5" type="noConversion"/>
  </si>
  <si>
    <t>SN37A28527</t>
    <phoneticPr fontId="5" type="noConversion"/>
  </si>
  <si>
    <t>SR17B00181</t>
    <phoneticPr fontId="5" type="noConversion"/>
  </si>
  <si>
    <t>SR17B09192</t>
    <phoneticPr fontId="5" type="noConversion"/>
  </si>
  <si>
    <t>SR17A32420</t>
    <phoneticPr fontId="5" type="noConversion"/>
  </si>
  <si>
    <t>CFG1-1  PA03</t>
  </si>
  <si>
    <t>OCP</t>
  </si>
  <si>
    <t>CFG1-2  PA03</t>
  </si>
  <si>
    <t>卓总借</t>
  </si>
  <si>
    <t>仓库新借DBG</t>
  </si>
  <si>
    <t>HBA</t>
  </si>
  <si>
    <t>CFG1-3  PA03</t>
  </si>
  <si>
    <t>新借</t>
  </si>
  <si>
    <t>王聪借</t>
  </si>
  <si>
    <t>CFG2-1  PA06</t>
  </si>
  <si>
    <t xml:space="preserve"> Slot</t>
  </si>
  <si>
    <t>SP57B92035</t>
  </si>
  <si>
    <t>PWR_SUPPLY Delta PT+</t>
  </si>
  <si>
    <t>CFG2-2  PA06</t>
  </si>
  <si>
    <t>Raid(OCP)</t>
  </si>
  <si>
    <t>CFG2-3  PA06</t>
  </si>
  <si>
    <t>m.2 kit</t>
  </si>
  <si>
    <t>CFG2-4  PA06</t>
  </si>
  <si>
    <t>备注</t>
    <phoneticPr fontId="5" type="noConversion"/>
  </si>
  <si>
    <t>Edit history:</t>
  </si>
  <si>
    <t>Version</t>
  </si>
  <si>
    <t>Content</t>
  </si>
  <si>
    <t>Done by</t>
  </si>
  <si>
    <t>PA备注</t>
  </si>
  <si>
    <t>4/3/2025</t>
  </si>
  <si>
    <t>V1.0</t>
  </si>
  <si>
    <t>1.25-1 (Agile A2501/Sustaining 25-1)新增已在Remark中标记;
2.与《Arcturus WR5225 G3 wave3 DDlist_ V2.3_20250311》相比FW/Driver/Tool 标记灰色是未变化部分;
3.与《Arcturus WR5225 G3 wave3 DDlist_ V2.3_20250311》相比HDD/SSD FW包整体升级，FW标记黄色是版本变化部分;
4.ADD New OS Vmware ESXi 9.0/RHEL 9.6/RHEL 10/Ubuntu 24.04.02;</t>
  </si>
  <si>
    <t>shiyy11</t>
  </si>
  <si>
    <t>参考“测试用例”Sheet页测试即可</t>
  </si>
  <si>
    <t>V1.1</t>
  </si>
  <si>
    <t>1.Update Broadcom/LCFC M.2 Raid RHEL 8.10 Driver;
2.Update Broadcom/LCFC M.2 Raid TOOL for bug CFCSOL-20845;
3.ADD SN37C13910 FW/Driver;</t>
  </si>
  <si>
    <t>将V1.0版本DDList与V1.1 DDList综合，参考“测试用例”Sheet页即可</t>
  </si>
  <si>
    <t>V1.2</t>
  </si>
  <si>
    <t>1.Update SN37A28455/SN37A28379/SN37B92112 Windows Server2022/Windows Server2025 Driver for bug 20898;
2.Update mellanox NIC Windows Server2022/Windows Server2025 Driver Version for bug CFCSOL-20894;
3.Update Broadcom/LCFC M.2 Raid TOOL for bug CFCSOL-20919;
4.Update HDD/SSD package;
(1)Update SSS7B96070/SSS7B81380/SSS7B81381/SSS7B81382/SSS7B81386/SSS7B81387/SSS7B81388/SSS7B85680/SSS7B85681 FW;
5.Update SSS7B84632/SSS7B84633/SSS7B84634 FW;
6.Update Intel NIC RHEL 9.4/RHEL 9.5 Driver for bug CFCSOL 21041;
7.Update SR17A89820 Windows 2022/Windows 2025 Driver;
8.Update Raid Microchip FW/Driver/Tool;(已标记黄色)</t>
  </si>
  <si>
    <t>将V1.2版本DDlist变化点更新至“测试用例”Sheet页中，其中SSD相关FW更新已经有Agile(BB福帅)测试完毕，无需PA Cover，将此部分增加至“DDlist-V1.2”中记录</t>
  </si>
  <si>
    <t>V1.3</t>
  </si>
  <si>
    <t>1.Update Raid Microchip Vmware ESXi 8.0 U3 Driver;
2.Update Mellanox NIC的 FW for bug CFCSOL-21162/CFCSOL-21033/CFCSOL-21028;</t>
  </si>
  <si>
    <t>V1.4</t>
  </si>
  <si>
    <t>1.Update SN37C13910 RHEL 9.6/RHEL 10/Ubuntu 22.04.5 HWE（Kernel V6.8)/Ubuntu 24.04 LTS GA/Ubuntu 24.04.2 Driver for bug CFCOL-21247;
2.GPU FW 标记橘色部分是只变更了包的类型和存储位置（上传SPAR系统）,包本身未变化;
3.Update SN37A28456 FW for bug CFCOL-21312/CFCOL-21314/CFCOL-21319;
4.Update HDD/SSD package;(只变更大包，FW包无变化;)</t>
  </si>
  <si>
    <t>此部分变化更新至DDList-V1.4 Sheet页中进行测试</t>
  </si>
  <si>
    <t>V1.5</t>
  </si>
  <si>
    <t>1.ADD SSS7B96072 for AVL;
2.Update SR17B82564/SR17B71473 FW for bug CFCSOL-21178;</t>
  </si>
  <si>
    <t>V1.6</t>
  </si>
  <si>
    <t>1.Update HDD/SSD package;
2.Update SHD7B75637/SHD7B75640/SHD7B75638/SHD7B75636/SHD7B75639/SHD7B75635/SHD7B79110/SHD7B79109/SHD7B79108/SHD7B79107/SHD7B79106 FW;
3.Update Mellanox NIC windows 2022/2025 Driver for bug CFCSOL-21366;</t>
  </si>
  <si>
    <t>V1.7</t>
  </si>
  <si>
    <t>1.Update SSS7B80080/SSS7B80083/SSS7B80086/SSS7B80089 FW version;(只变更FW version，package未变化;)
2.SHD7B79110/SHD7B79109/SHD7B79108/SHD7B79107/SHD7B79106/SHD7B79104/SHD7B79103/SHD7B79102/SHD7B79101/SHD7B79100 加到AVL;</t>
  </si>
  <si>
    <t>V1.8</t>
  </si>
  <si>
    <t>1.Update SN37C13910 RHEL 8.10/RHEL 9.4/RHEL 9.5/RHEL 9.6/RHEL 10/SLES 15 SP6/Ubuntu 22.04.5 HWE（Kernel V6.8）/Ubuntu 24.04 LTS GA/Ubuntu 24.04.2 Driver for bug 21387/21299/21297/21230/21693/21828/21830/21692;
2.ADD BIOS/Chipset Driver Link in System FW sheet;
3.Update PSU Link in System FW sheet;
4.Update SN37A28455/SN37A28379/SN37B92112 FW for bug 21952/21247;
5.Delete Raid 440-x PSOC for bug 21831;
6.ADD SN37C13910 Vmware ESXi 9.0 Driver;</t>
  </si>
  <si>
    <t>V1.9</t>
  </si>
  <si>
    <t>1.ADD Intel/Ramaxel/SiNEAD NIC RHEL 9.6/RHEL 10 Driver for bug 21353;
2.ADD SN37C13910 Windows Server2022/Windows Server2025 Driver;
3.Update SN37A28455/SN37A28379/SN37B92112 FW and ESXi 8.0 U3/ESXi 9.0/RHEL 9.6/RHEL 10 Driver for bug 21270;
4.Update HDD/SSD package;
(1)Update SSS7B96070 FW;
5.Update SN37C13910 RHEL 8.10/RHEL 9.4/RHEL 9.5/RHEL 9.6/RHEL 10/SLES 15 SP6/Ubuntu 22.04.5 HWE（Kernel V6.8）/Ubuntu 24.04 LTS GA/Ubuntu 24.04.2 Driver for bug 21441;</t>
  </si>
  <si>
    <t>V2.0</t>
  </si>
  <si>
    <t>Update SN37A28455/SN37A28379/SN37B92112 FW for bug 22386;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</si>
</sst>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€]* #,##0.000_-;\-[$€]* #,##0.000_-;_-[$€]* &quot;-&quot;??_-;_-@_-"/>
    <numFmt numFmtId="165" formatCode="0.00_);[Red]\(0.00\)"/>
    <numFmt numFmtId="166" formatCode="[$-409]dd\-mmm\-yy;@"/>
  </numFmts>
  <fonts count="73">
    <font>
      <sz val="11"/>
      <color theme="1"/>
      <name val="等线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Calibri"/>
      <family val="2"/>
    </font>
    <font>
      <sz val="9"/>
      <name val="等线"/>
      <family val="2"/>
      <charset val="134"/>
      <scheme val="minor"/>
    </font>
    <font>
      <sz val="12"/>
      <name val="宋体"/>
      <family val="3"/>
      <charset val="134"/>
    </font>
    <font>
      <sz val="9"/>
      <color theme="1"/>
      <name val="Calibri"/>
      <family val="2"/>
    </font>
    <font>
      <sz val="9"/>
      <name val="Calibri"/>
      <family val="2"/>
    </font>
    <font>
      <sz val="9"/>
      <color theme="1"/>
      <name val="微软雅黑"/>
      <family val="2"/>
      <charset val="134"/>
    </font>
    <font>
      <sz val="9"/>
      <color theme="1"/>
      <name val="等线"/>
      <family val="2"/>
      <scheme val="minor"/>
    </font>
    <font>
      <b/>
      <sz val="9"/>
      <color theme="0"/>
      <name val="Calibri"/>
      <family val="2"/>
    </font>
    <font>
      <b/>
      <sz val="9"/>
      <color theme="0"/>
      <name val="宋体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Calibri"/>
      <family val="2"/>
    </font>
    <font>
      <sz val="11"/>
      <name val="Calibri"/>
      <family val="2"/>
    </font>
    <font>
      <b/>
      <sz val="9"/>
      <color theme="1"/>
      <name val="等线"/>
      <family val="2"/>
      <scheme val="minor"/>
    </font>
    <font>
      <sz val="9"/>
      <color theme="1"/>
      <name val="等线"/>
      <family val="2"/>
      <scheme val="minor"/>
    </font>
    <font>
      <sz val="9"/>
      <name val="等线"/>
      <family val="2"/>
      <scheme val="minor"/>
    </font>
    <font>
      <b/>
      <sz val="9"/>
      <color theme="0"/>
      <name val="等线"/>
      <family val="2"/>
      <scheme val="minor"/>
    </font>
    <font>
      <sz val="9"/>
      <color rgb="FF000000"/>
      <name val="等线"/>
      <family val="2"/>
      <scheme val="minor"/>
    </font>
    <font>
      <sz val="11"/>
      <color theme="1"/>
      <name val="等线"/>
      <family val="2"/>
      <charset val="134"/>
    </font>
    <font>
      <sz val="8"/>
      <color theme="1"/>
      <name val="微软雅黑"/>
      <family val="2"/>
      <charset val="134"/>
    </font>
    <font>
      <sz val="8"/>
      <name val="微软雅黑"/>
      <family val="2"/>
      <charset val="134"/>
    </font>
    <font>
      <sz val="9"/>
      <color rgb="FFFF0000"/>
      <name val="等线"/>
      <family val="3"/>
      <charset val="134"/>
      <scheme val="minor"/>
    </font>
    <font>
      <sz val="9"/>
      <color rgb="FFFF0000"/>
      <name val="等线"/>
      <family val="2"/>
      <scheme val="minor"/>
    </font>
    <font>
      <sz val="11"/>
      <color rgb="FF000000"/>
      <name val="等线"/>
      <family val="3"/>
      <charset val="134"/>
      <scheme val="minor"/>
    </font>
    <font>
      <sz val="10"/>
      <color rgb="FF000000"/>
      <name val="Calibri"/>
      <family val="2"/>
    </font>
    <font>
      <b/>
      <sz val="11"/>
      <color rgb="FFFFFFFF"/>
      <name val="等线"/>
      <family val="3"/>
      <charset val="134"/>
      <scheme val="minor"/>
    </font>
    <font>
      <sz val="9"/>
      <color rgb="FF000000"/>
      <name val="Calibri"/>
    </font>
    <font>
      <sz val="9"/>
      <color rgb="FF000000"/>
      <name val="微软雅黑"/>
    </font>
    <font>
      <sz val="9"/>
      <color rgb="FF000000"/>
      <name val="Calibri"/>
      <family val="2"/>
    </font>
    <font>
      <sz val="10"/>
      <name val="Calibri"/>
      <family val="2"/>
    </font>
    <font>
      <sz val="11"/>
      <color rgb="FFFF0000"/>
      <name val="Calibri"/>
      <family val="2"/>
    </font>
    <font>
      <sz val="10"/>
      <color rgb="FFFF0000"/>
      <name val="Calibri"/>
      <family val="2"/>
    </font>
    <font>
      <sz val="11"/>
      <color theme="1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rgb="FF000000"/>
      <name val="DengXian"/>
    </font>
    <font>
      <sz val="9"/>
      <color theme="1"/>
      <name val="DengXian"/>
    </font>
    <font>
      <sz val="12"/>
      <color theme="0"/>
      <name val="DengXian"/>
    </font>
    <font>
      <sz val="10"/>
      <name val="DengXian"/>
    </font>
    <font>
      <sz val="10"/>
      <color rgb="FF000000"/>
      <name val="DengXian"/>
    </font>
    <font>
      <sz val="10"/>
      <color theme="1"/>
      <name val="DengXian"/>
    </font>
    <font>
      <sz val="10"/>
      <color rgb="FF000000"/>
      <name val="Calibri"/>
    </font>
    <font>
      <sz val="10"/>
      <color rgb="FFFF0000"/>
      <name val="Calibri"/>
    </font>
    <font>
      <sz val="10"/>
      <name val="Calibri"/>
    </font>
    <font>
      <sz val="11"/>
      <color rgb="FF000000"/>
      <name val="Calibri"/>
    </font>
    <font>
      <sz val="11"/>
      <color rgb="FFFF0000"/>
      <name val="Calibri"/>
    </font>
    <font>
      <sz val="11"/>
      <color theme="1"/>
      <name val="Calibri"/>
    </font>
    <font>
      <sz val="8"/>
      <color rgb="FF000000"/>
      <name val="微软雅黑"/>
      <family val="2"/>
      <charset val="134"/>
    </font>
    <font>
      <sz val="11"/>
      <color rgb="FF242424"/>
      <name val="DengXian"/>
      <charset val="1"/>
    </font>
    <font>
      <sz val="11"/>
      <color theme="1"/>
      <name val="等线"/>
      <family val="2"/>
      <scheme val="minor"/>
    </font>
    <font>
      <sz val="10"/>
      <color theme="1"/>
      <name val="Calibri"/>
    </font>
    <font>
      <sz val="9"/>
      <color theme="1"/>
      <name val="Calibri"/>
    </font>
    <font>
      <sz val="9"/>
      <name val="Calibri"/>
    </font>
    <font>
      <sz val="10"/>
      <color theme="1"/>
      <name val="Calibri"/>
      <scheme val="minor"/>
    </font>
    <font>
      <sz val="10"/>
      <name val="Calibri"/>
      <scheme val="minor"/>
    </font>
    <font>
      <sz val="9"/>
      <color theme="1"/>
      <name val="Calibri"/>
      <scheme val="minor"/>
    </font>
    <font>
      <sz val="9"/>
      <name val="Calibri"/>
      <scheme val="minor"/>
    </font>
    <font>
      <strike/>
      <sz val="9"/>
      <color rgb="FF000000"/>
      <name val="等线"/>
      <family val="2"/>
      <scheme val="minor"/>
    </font>
    <font>
      <sz val="10"/>
      <name val="微软雅黑"/>
      <family val="2"/>
      <charset val="134"/>
    </font>
    <font>
      <sz val="10"/>
      <name val="等线"/>
      <family val="2"/>
      <charset val="134"/>
    </font>
    <font>
      <sz val="10"/>
      <color theme="1"/>
      <name val="等线"/>
      <family val="2"/>
      <charset val="134"/>
    </font>
    <font>
      <sz val="9"/>
      <color rgb="FFFF0000"/>
      <name val="Calibri"/>
      <scheme val="minor"/>
    </font>
    <font>
      <sz val="9"/>
      <color rgb="FF000000"/>
      <name val="Calibri"/>
      <scheme val="minor"/>
    </font>
    <font>
      <strike/>
      <sz val="9"/>
      <color rgb="FFFF0000"/>
      <name val="Calibri"/>
      <scheme val="minor"/>
    </font>
    <font>
      <sz val="10"/>
      <color rgb="FF000000"/>
      <name val="等线"/>
    </font>
    <font>
      <sz val="11"/>
      <name val="微软雅黑"/>
      <family val="2"/>
      <charset val="134"/>
    </font>
    <font>
      <sz val="11"/>
      <color rgb="FF000000"/>
      <name val="Calibri"/>
      <family val="2"/>
    </font>
    <font>
      <sz val="11"/>
      <color rgb="FF000000"/>
      <name val="微软雅黑"/>
      <family val="2"/>
      <charset val="134"/>
    </font>
    <font>
      <sz val="10"/>
      <color theme="1"/>
      <name val="宋体"/>
      <family val="2"/>
      <charset val="134"/>
    </font>
  </fonts>
  <fills count="2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7C80"/>
        <bgColor rgb="FFC0C0C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C0C0C0"/>
      </patternFill>
    </fill>
    <fill>
      <patternFill patternType="solid">
        <fgColor rgb="FFFF7C8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rgb="FF4472C4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5">
    <xf numFmtId="164" fontId="0" fillId="0" borderId="0"/>
    <xf numFmtId="164" fontId="8" fillId="0" borderId="0"/>
    <xf numFmtId="164" fontId="4" fillId="0" borderId="0">
      <alignment vertical="center"/>
    </xf>
    <xf numFmtId="164" fontId="3" fillId="0" borderId="0">
      <alignment vertical="center"/>
    </xf>
    <xf numFmtId="164" fontId="37" fillId="0" borderId="0"/>
  </cellStyleXfs>
  <cellXfs count="373">
    <xf numFmtId="164" fontId="0" fillId="0" borderId="0" xfId="0"/>
    <xf numFmtId="0" fontId="6" fillId="6" borderId="1" xfId="0" applyNumberFormat="1" applyFont="1" applyFill="1" applyBorder="1" applyAlignment="1">
      <alignment horizontal="center" vertical="center"/>
    </xf>
    <xf numFmtId="0" fontId="10" fillId="8" borderId="1" xfId="0" applyNumberFormat="1" applyFont="1" applyFill="1" applyBorder="1" applyAlignment="1">
      <alignment horizontal="center" vertical="center" wrapText="1"/>
    </xf>
    <xf numFmtId="0" fontId="9" fillId="4" borderId="1" xfId="0" applyNumberFormat="1" applyFont="1" applyFill="1" applyBorder="1" applyAlignment="1">
      <alignment horizontal="left" vertical="center"/>
    </xf>
    <xf numFmtId="0" fontId="9" fillId="0" borderId="1" xfId="0" applyNumberFormat="1" applyFont="1" applyBorder="1" applyAlignment="1">
      <alignment horizontal="left" vertical="center"/>
    </xf>
    <xf numFmtId="0" fontId="9" fillId="0" borderId="0" xfId="0" applyNumberFormat="1" applyFont="1" applyAlignment="1">
      <alignment horizontal="left" vertical="center"/>
    </xf>
    <xf numFmtId="0" fontId="13" fillId="17" borderId="0" xfId="0" applyNumberFormat="1" applyFont="1" applyFill="1" applyAlignment="1">
      <alignment horizontal="center" vertical="center"/>
    </xf>
    <xf numFmtId="0" fontId="14" fillId="17" borderId="0" xfId="0" applyNumberFormat="1" applyFont="1" applyFill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0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NumberFormat="1" applyFont="1" applyFill="1" applyBorder="1" applyAlignment="1">
      <alignment horizontal="center" vertical="center"/>
    </xf>
    <xf numFmtId="0" fontId="10" fillId="3" borderId="1" xfId="0" applyNumberFormat="1" applyFont="1" applyFill="1" applyBorder="1" applyAlignment="1">
      <alignment horizontal="center" vertical="center" textRotation="90" wrapText="1"/>
    </xf>
    <xf numFmtId="0" fontId="10" fillId="7" borderId="1" xfId="0" applyNumberFormat="1" applyFont="1" applyFill="1" applyBorder="1" applyAlignment="1">
      <alignment horizontal="center" vertical="center" textRotation="90" wrapText="1"/>
    </xf>
    <xf numFmtId="0" fontId="9" fillId="4" borderId="1" xfId="0" applyNumberFormat="1" applyFont="1" applyFill="1" applyBorder="1" applyAlignment="1">
      <alignment horizontal="center" vertical="center" wrapText="1"/>
    </xf>
    <xf numFmtId="0" fontId="9" fillId="4" borderId="1" xfId="0" applyNumberFormat="1" applyFont="1" applyFill="1" applyBorder="1" applyAlignment="1">
      <alignment horizontal="center" vertical="center"/>
    </xf>
    <xf numFmtId="0" fontId="12" fillId="0" borderId="0" xfId="0" applyNumberFormat="1" applyFont="1"/>
    <xf numFmtId="0" fontId="6" fillId="15" borderId="1" xfId="0" applyNumberFormat="1" applyFont="1" applyFill="1" applyBorder="1" applyAlignment="1">
      <alignment horizontal="center" vertical="center"/>
    </xf>
    <xf numFmtId="164" fontId="16" fillId="0" borderId="0" xfId="0" applyFont="1" applyAlignment="1">
      <alignment horizontal="center" vertical="center"/>
    </xf>
    <xf numFmtId="0" fontId="16" fillId="9" borderId="1" xfId="0" applyNumberFormat="1" applyFont="1" applyFill="1" applyBorder="1" applyAlignment="1">
      <alignment horizontal="center" vertical="center"/>
    </xf>
    <xf numFmtId="0" fontId="16" fillId="10" borderId="1" xfId="0" applyNumberFormat="1" applyFont="1" applyFill="1" applyBorder="1" applyAlignment="1">
      <alignment horizontal="center" vertical="center"/>
    </xf>
    <xf numFmtId="0" fontId="16" fillId="11" borderId="1" xfId="0" applyNumberFormat="1" applyFont="1" applyFill="1" applyBorder="1" applyAlignment="1">
      <alignment horizontal="center" vertical="center"/>
    </xf>
    <xf numFmtId="0" fontId="16" fillId="12" borderId="1" xfId="0" applyNumberFormat="1" applyFont="1" applyFill="1" applyBorder="1" applyAlignment="1">
      <alignment horizontal="center" vertical="center"/>
    </xf>
    <xf numFmtId="0" fontId="17" fillId="13" borderId="1" xfId="0" applyNumberFormat="1" applyFont="1" applyFill="1" applyBorder="1" applyAlignment="1">
      <alignment horizontal="center" vertical="center"/>
    </xf>
    <xf numFmtId="0" fontId="16" fillId="14" borderId="1" xfId="0" applyNumberFormat="1" applyFont="1" applyFill="1" applyBorder="1" applyAlignment="1">
      <alignment horizontal="center" vertical="center"/>
    </xf>
    <xf numFmtId="0" fontId="16" fillId="0" borderId="0" xfId="0" applyNumberFormat="1" applyFont="1" applyAlignment="1">
      <alignment horizontal="center" vertical="center"/>
    </xf>
    <xf numFmtId="0" fontId="16" fillId="0" borderId="1" xfId="0" applyNumberFormat="1" applyFont="1" applyBorder="1" applyAlignment="1">
      <alignment horizontal="center" vertical="center"/>
    </xf>
    <xf numFmtId="164" fontId="9" fillId="0" borderId="0" xfId="0" applyFont="1" applyAlignment="1">
      <alignment horizontal="center" vertical="center"/>
    </xf>
    <xf numFmtId="164" fontId="16" fillId="5" borderId="0" xfId="0" applyFont="1" applyFill="1" applyAlignment="1">
      <alignment horizontal="left" vertical="center"/>
    </xf>
    <xf numFmtId="164" fontId="16" fillId="5" borderId="0" xfId="0" applyFont="1" applyFill="1" applyAlignment="1">
      <alignment horizontal="center" vertical="center"/>
    </xf>
    <xf numFmtId="10" fontId="16" fillId="0" borderId="1" xfId="0" applyNumberFormat="1" applyFont="1" applyBorder="1" applyAlignment="1">
      <alignment horizontal="center" vertical="center"/>
    </xf>
    <xf numFmtId="9" fontId="16" fillId="14" borderId="1" xfId="0" applyNumberFormat="1" applyFont="1" applyFill="1" applyBorder="1" applyAlignment="1">
      <alignment horizontal="center" vertical="center"/>
    </xf>
    <xf numFmtId="9" fontId="16" fillId="0" borderId="1" xfId="0" applyNumberFormat="1" applyFont="1" applyBorder="1" applyAlignment="1">
      <alignment horizontal="center" vertical="center"/>
    </xf>
    <xf numFmtId="0" fontId="12" fillId="0" borderId="0" xfId="0" applyNumberFormat="1" applyFont="1" applyAlignment="1">
      <alignment horizontal="center" vertical="center"/>
    </xf>
    <xf numFmtId="0" fontId="18" fillId="2" borderId="1" xfId="0" applyNumberFormat="1" applyFont="1" applyFill="1" applyBorder="1" applyAlignment="1">
      <alignment horizontal="center" vertical="center" wrapText="1"/>
    </xf>
    <xf numFmtId="0" fontId="19" fillId="0" borderId="0" xfId="0" applyNumberFormat="1" applyFont="1" applyAlignment="1">
      <alignment horizontal="center"/>
    </xf>
    <xf numFmtId="0" fontId="21" fillId="17" borderId="0" xfId="0" applyNumberFormat="1" applyFont="1" applyFill="1" applyAlignment="1">
      <alignment horizontal="center" vertical="center"/>
    </xf>
    <xf numFmtId="0" fontId="19" fillId="0" borderId="0" xfId="0" applyNumberFormat="1" applyFont="1" applyAlignment="1">
      <alignment horizontal="center" vertical="center"/>
    </xf>
    <xf numFmtId="0" fontId="19" fillId="0" borderId="0" xfId="0" applyNumberFormat="1" applyFont="1" applyAlignment="1">
      <alignment horizontal="left" vertical="center"/>
    </xf>
    <xf numFmtId="0" fontId="22" fillId="16" borderId="5" xfId="0" applyNumberFormat="1" applyFont="1" applyFill="1" applyBorder="1" applyAlignment="1">
      <alignment horizontal="center" vertical="center"/>
    </xf>
    <xf numFmtId="0" fontId="22" fillId="16" borderId="5" xfId="0" applyNumberFormat="1" applyFont="1" applyFill="1" applyBorder="1" applyAlignment="1">
      <alignment horizontal="left" vertical="center"/>
    </xf>
    <xf numFmtId="14" fontId="21" fillId="17" borderId="1" xfId="0" applyNumberFormat="1" applyFont="1" applyFill="1" applyBorder="1" applyAlignment="1">
      <alignment horizontal="center" vertical="center"/>
    </xf>
    <xf numFmtId="0" fontId="19" fillId="0" borderId="0" xfId="0" applyNumberFormat="1" applyFont="1"/>
    <xf numFmtId="0" fontId="21" fillId="17" borderId="1" xfId="0" applyNumberFormat="1" applyFont="1" applyFill="1" applyBorder="1" applyAlignment="1">
      <alignment horizontal="center" vertical="center"/>
    </xf>
    <xf numFmtId="0" fontId="22" fillId="0" borderId="1" xfId="0" applyNumberFormat="1" applyFont="1" applyBorder="1" applyAlignment="1">
      <alignment horizontal="left" vertical="center"/>
    </xf>
    <xf numFmtId="0" fontId="22" fillId="0" borderId="1" xfId="0" applyNumberFormat="1" applyFont="1" applyBorder="1" applyAlignment="1">
      <alignment vertical="center"/>
    </xf>
    <xf numFmtId="0" fontId="20" fillId="0" borderId="1" xfId="0" applyNumberFormat="1" applyFont="1" applyBorder="1" applyAlignment="1">
      <alignment vertical="center" wrapText="1"/>
    </xf>
    <xf numFmtId="164" fontId="24" fillId="0" borderId="1" xfId="0" applyFont="1" applyBorder="1" applyAlignment="1">
      <alignment vertical="center"/>
    </xf>
    <xf numFmtId="164" fontId="24" fillId="0" borderId="1" xfId="0" applyFont="1" applyBorder="1" applyAlignment="1">
      <alignment horizontal="center" vertical="center"/>
    </xf>
    <xf numFmtId="164" fontId="25" fillId="0" borderId="1" xfId="0" applyFont="1" applyBorder="1" applyAlignment="1">
      <alignment horizontal="center" vertical="center"/>
    </xf>
    <xf numFmtId="0" fontId="10" fillId="5" borderId="1" xfId="0" applyNumberFormat="1" applyFont="1" applyFill="1" applyBorder="1" applyAlignment="1">
      <alignment horizontal="center" vertical="center" wrapText="1"/>
    </xf>
    <xf numFmtId="0" fontId="12" fillId="0" borderId="1" xfId="0" applyNumberFormat="1" applyFont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 wrapText="1"/>
    </xf>
    <xf numFmtId="0" fontId="12" fillId="0" borderId="1" xfId="0" applyNumberFormat="1" applyFont="1" applyBorder="1"/>
    <xf numFmtId="0" fontId="12" fillId="0" borderId="1" xfId="0" applyNumberFormat="1" applyFont="1" applyBorder="1" applyAlignment="1">
      <alignment wrapText="1"/>
    </xf>
    <xf numFmtId="0" fontId="10" fillId="3" borderId="4" xfId="0" applyNumberFormat="1" applyFont="1" applyFill="1" applyBorder="1" applyAlignment="1">
      <alignment horizontal="center" vertical="center" textRotation="90" wrapText="1"/>
    </xf>
    <xf numFmtId="0" fontId="12" fillId="0" borderId="4" xfId="0" applyNumberFormat="1" applyFont="1" applyBorder="1" applyAlignment="1">
      <alignment horizontal="center" vertical="center" wrapText="1"/>
    </xf>
    <xf numFmtId="0" fontId="12" fillId="0" borderId="4" xfId="0" applyNumberFormat="1" applyFont="1" applyBorder="1" applyAlignment="1">
      <alignment wrapText="1"/>
    </xf>
    <xf numFmtId="0" fontId="12" fillId="0" borderId="4" xfId="0" applyNumberFormat="1" applyFont="1" applyBorder="1"/>
    <xf numFmtId="164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12" fillId="0" borderId="4" xfId="0" applyNumberFormat="1" applyFont="1" applyBorder="1" applyAlignment="1">
      <alignment horizontal="center" vertical="center"/>
    </xf>
    <xf numFmtId="0" fontId="10" fillId="8" borderId="4" xfId="0" applyNumberFormat="1" applyFont="1" applyFill="1" applyBorder="1" applyAlignment="1">
      <alignment horizontal="center" vertical="center" wrapText="1"/>
    </xf>
    <xf numFmtId="0" fontId="10" fillId="5" borderId="4" xfId="0" applyNumberFormat="1" applyFont="1" applyFill="1" applyBorder="1" applyAlignment="1">
      <alignment horizontal="center" vertical="center" wrapText="1"/>
    </xf>
    <xf numFmtId="0" fontId="26" fillId="0" borderId="1" xfId="0" applyNumberFormat="1" applyFont="1" applyBorder="1" applyAlignment="1">
      <alignment horizontal="center" vertical="center"/>
    </xf>
    <xf numFmtId="49" fontId="24" fillId="0" borderId="1" xfId="0" applyNumberFormat="1" applyFont="1" applyBorder="1" applyAlignment="1">
      <alignment vertical="center"/>
    </xf>
    <xf numFmtId="164" fontId="24" fillId="6" borderId="1" xfId="0" applyFont="1" applyFill="1" applyBorder="1" applyAlignment="1">
      <alignment horizontal="center" vertical="center"/>
    </xf>
    <xf numFmtId="164" fontId="25" fillId="6" borderId="1" xfId="0" applyFont="1" applyFill="1" applyBorder="1" applyAlignment="1">
      <alignment horizontal="center" vertical="center"/>
    </xf>
    <xf numFmtId="49" fontId="25" fillId="6" borderId="1" xfId="2" applyNumberFormat="1" applyFont="1" applyFill="1" applyBorder="1" applyAlignment="1">
      <alignment horizontal="center" vertical="center"/>
    </xf>
    <xf numFmtId="49" fontId="25" fillId="6" borderId="1" xfId="0" applyNumberFormat="1" applyFont="1" applyFill="1" applyBorder="1" applyAlignment="1">
      <alignment horizontal="center" vertical="center"/>
    </xf>
    <xf numFmtId="49" fontId="24" fillId="0" borderId="1" xfId="0" applyNumberFormat="1" applyFont="1" applyBorder="1" applyAlignment="1">
      <alignment horizontal="center" vertical="center"/>
    </xf>
    <xf numFmtId="164" fontId="23" fillId="5" borderId="1" xfId="0" applyFont="1" applyFill="1" applyBorder="1" applyAlignment="1">
      <alignment horizontal="center" vertical="center" wrapText="1"/>
    </xf>
    <xf numFmtId="164" fontId="24" fillId="0" borderId="1" xfId="0" applyFont="1" applyBorder="1" applyAlignment="1">
      <alignment horizontal="center" vertical="center" wrapText="1"/>
    </xf>
    <xf numFmtId="0" fontId="27" fillId="0" borderId="1" xfId="0" applyNumberFormat="1" applyFont="1" applyBorder="1"/>
    <xf numFmtId="164" fontId="6" fillId="0" borderId="1" xfId="0" applyFont="1" applyBorder="1" applyAlignment="1">
      <alignment vertical="center"/>
    </xf>
    <xf numFmtId="164" fontId="25" fillId="0" borderId="1" xfId="0" applyFont="1" applyBorder="1" applyAlignment="1">
      <alignment horizontal="left" vertical="center" wrapText="1"/>
    </xf>
    <xf numFmtId="164" fontId="25" fillId="0" borderId="1" xfId="0" applyFont="1" applyBorder="1" applyAlignment="1">
      <alignment vertical="center"/>
    </xf>
    <xf numFmtId="164" fontId="25" fillId="0" borderId="1" xfId="0" applyFont="1" applyBorder="1"/>
    <xf numFmtId="49" fontId="25" fillId="0" borderId="1" xfId="0" applyNumberFormat="1" applyFont="1" applyBorder="1"/>
    <xf numFmtId="164" fontId="25" fillId="6" borderId="1" xfId="0" applyFont="1" applyFill="1" applyBorder="1" applyAlignment="1">
      <alignment vertical="center"/>
    </xf>
    <xf numFmtId="164" fontId="6" fillId="0" borderId="1" xfId="0" applyFont="1" applyBorder="1"/>
    <xf numFmtId="49" fontId="24" fillId="0" borderId="1" xfId="2" applyNumberFormat="1" applyFont="1" applyBorder="1" applyAlignment="1">
      <alignment horizontal="center" vertical="center"/>
    </xf>
    <xf numFmtId="49" fontId="25" fillId="0" borderId="1" xfId="0" applyNumberFormat="1" applyFont="1" applyBorder="1" applyAlignment="1">
      <alignment horizontal="center" vertical="center"/>
    </xf>
    <xf numFmtId="164" fontId="17" fillId="0" borderId="1" xfId="0" applyFont="1" applyBorder="1" applyAlignment="1">
      <alignment horizontal="center" vertical="center"/>
    </xf>
    <xf numFmtId="0" fontId="11" fillId="2" borderId="1" xfId="0" applyNumberFormat="1" applyFont="1" applyFill="1" applyBorder="1" applyAlignment="1">
      <alignment horizontal="center" vertical="center" wrapText="1"/>
    </xf>
    <xf numFmtId="0" fontId="12" fillId="0" borderId="1" xfId="0" applyNumberFormat="1" applyFont="1" applyBorder="1" applyAlignment="1">
      <alignment horizontal="center"/>
    </xf>
    <xf numFmtId="164" fontId="30" fillId="18" borderId="1" xfId="0" applyFont="1" applyFill="1" applyBorder="1" applyAlignment="1">
      <alignment horizontal="center" vertical="center"/>
    </xf>
    <xf numFmtId="164" fontId="28" fillId="0" borderId="1" xfId="0" applyFont="1" applyBorder="1"/>
    <xf numFmtId="164" fontId="28" fillId="0" borderId="1" xfId="0" applyFont="1" applyBorder="1" applyAlignment="1">
      <alignment horizontal="left"/>
    </xf>
    <xf numFmtId="164" fontId="28" fillId="0" borderId="1" xfId="0" applyFont="1" applyBorder="1" applyAlignment="1">
      <alignment horizontal="center" vertical="center"/>
    </xf>
    <xf numFmtId="0" fontId="12" fillId="0" borderId="1" xfId="0" applyNumberFormat="1" applyFont="1" applyBorder="1" applyAlignment="1">
      <alignment vertical="center" wrapText="1"/>
    </xf>
    <xf numFmtId="0" fontId="12" fillId="0" borderId="1" xfId="0" applyNumberFormat="1" applyFont="1" applyBorder="1" applyAlignment="1">
      <alignment vertical="center"/>
    </xf>
    <xf numFmtId="0" fontId="12" fillId="0" borderId="0" xfId="0" applyNumberFormat="1" applyFont="1" applyAlignment="1">
      <alignment horizontal="left" vertical="center"/>
    </xf>
    <xf numFmtId="0" fontId="12" fillId="0" borderId="5" xfId="0" applyNumberFormat="1" applyFont="1" applyBorder="1" applyAlignment="1">
      <alignment horizontal="center" vertical="center"/>
    </xf>
    <xf numFmtId="0" fontId="33" fillId="8" borderId="1" xfId="0" applyNumberFormat="1" applyFont="1" applyFill="1" applyBorder="1" applyAlignment="1">
      <alignment horizontal="center" vertical="center" wrapText="1"/>
    </xf>
    <xf numFmtId="0" fontId="6" fillId="15" borderId="7" xfId="0" applyNumberFormat="1" applyFont="1" applyFill="1" applyBorder="1" applyAlignment="1">
      <alignment horizontal="center" vertical="center"/>
    </xf>
    <xf numFmtId="0" fontId="16" fillId="5" borderId="4" xfId="0" applyNumberFormat="1" applyFont="1" applyFill="1" applyBorder="1" applyAlignment="1">
      <alignment horizontal="center" vertical="center"/>
    </xf>
    <xf numFmtId="0" fontId="16" fillId="6" borderId="1" xfId="0" applyNumberFormat="1" applyFont="1" applyFill="1" applyBorder="1" applyAlignment="1">
      <alignment horizontal="center" vertical="center"/>
    </xf>
    <xf numFmtId="10" fontId="16" fillId="6" borderId="1" xfId="0" applyNumberFormat="1" applyFont="1" applyFill="1" applyBorder="1" applyAlignment="1">
      <alignment horizontal="center" vertical="center"/>
    </xf>
    <xf numFmtId="10" fontId="16" fillId="6" borderId="2" xfId="0" applyNumberFormat="1" applyFont="1" applyFill="1" applyBorder="1" applyAlignment="1">
      <alignment horizontal="center" vertical="center"/>
    </xf>
    <xf numFmtId="0" fontId="12" fillId="0" borderId="0" xfId="0" applyNumberFormat="1" applyFont="1" applyAlignment="1">
      <alignment horizontal="center"/>
    </xf>
    <xf numFmtId="164" fontId="16" fillId="6" borderId="0" xfId="0" applyFont="1" applyFill="1" applyAlignment="1">
      <alignment horizontal="center" vertical="center"/>
    </xf>
    <xf numFmtId="0" fontId="22" fillId="16" borderId="6" xfId="0" applyNumberFormat="1" applyFont="1" applyFill="1" applyBorder="1" applyAlignment="1">
      <alignment horizontal="center" vertical="center"/>
    </xf>
    <xf numFmtId="0" fontId="22" fillId="16" borderId="6" xfId="0" applyNumberFormat="1" applyFont="1" applyFill="1" applyBorder="1" applyAlignment="1">
      <alignment horizontal="left" vertical="center"/>
    </xf>
    <xf numFmtId="0" fontId="22" fillId="16" borderId="0" xfId="0" applyNumberFormat="1" applyFont="1" applyFill="1" applyAlignment="1">
      <alignment horizontal="center" vertical="center"/>
    </xf>
    <xf numFmtId="0" fontId="22" fillId="16" borderId="0" xfId="0" applyNumberFormat="1" applyFont="1" applyFill="1" applyAlignment="1">
      <alignment horizontal="left" vertical="center"/>
    </xf>
    <xf numFmtId="0" fontId="12" fillId="9" borderId="0" xfId="0" applyNumberFormat="1" applyFont="1" applyFill="1" applyAlignment="1">
      <alignment horizontal="center" vertical="center"/>
    </xf>
    <xf numFmtId="164" fontId="25" fillId="19" borderId="1" xfId="0" applyFont="1" applyFill="1" applyBorder="1" applyAlignment="1">
      <alignment horizontal="center" vertical="center"/>
    </xf>
    <xf numFmtId="164" fontId="25" fillId="20" borderId="1" xfId="0" applyFont="1" applyFill="1" applyBorder="1" applyAlignment="1">
      <alignment horizontal="center" vertical="center"/>
    </xf>
    <xf numFmtId="0" fontId="22" fillId="9" borderId="0" xfId="0" applyNumberFormat="1" applyFont="1" applyFill="1" applyAlignment="1">
      <alignment horizontal="center" vertical="center" wrapText="1"/>
    </xf>
    <xf numFmtId="0" fontId="22" fillId="16" borderId="5" xfId="0" applyNumberFormat="1" applyFont="1" applyFill="1" applyBorder="1" applyAlignment="1">
      <alignment horizontal="left" vertical="center" wrapText="1"/>
    </xf>
    <xf numFmtId="0" fontId="22" fillId="16" borderId="5" xfId="0" applyNumberFormat="1" applyFont="1" applyFill="1" applyBorder="1" applyAlignment="1">
      <alignment horizontal="center" vertical="center" wrapText="1"/>
    </xf>
    <xf numFmtId="164" fontId="25" fillId="5" borderId="1" xfId="0" applyFont="1" applyFill="1" applyBorder="1"/>
    <xf numFmtId="164" fontId="25" fillId="13" borderId="1" xfId="0" applyFont="1" applyFill="1" applyBorder="1" applyAlignment="1">
      <alignment horizontal="center" vertical="center"/>
    </xf>
    <xf numFmtId="0" fontId="16" fillId="5" borderId="5" xfId="0" applyNumberFormat="1" applyFont="1" applyFill="1" applyBorder="1" applyAlignment="1">
      <alignment horizontal="center" vertical="center"/>
    </xf>
    <xf numFmtId="10" fontId="16" fillId="5" borderId="5" xfId="0" applyNumberFormat="1" applyFont="1" applyFill="1" applyBorder="1" applyAlignment="1">
      <alignment horizontal="center" vertical="center"/>
    </xf>
    <xf numFmtId="0" fontId="16" fillId="6" borderId="2" xfId="0" applyNumberFormat="1" applyFont="1" applyFill="1" applyBorder="1" applyAlignment="1">
      <alignment horizontal="center" vertical="center"/>
    </xf>
    <xf numFmtId="0" fontId="16" fillId="0" borderId="2" xfId="0" applyNumberFormat="1" applyFont="1" applyBorder="1" applyAlignment="1">
      <alignment horizontal="center" vertical="center"/>
    </xf>
    <xf numFmtId="0" fontId="16" fillId="5" borderId="1" xfId="0" applyNumberFormat="1" applyFont="1" applyFill="1" applyBorder="1" applyAlignment="1">
      <alignment horizontal="center" vertical="center"/>
    </xf>
    <xf numFmtId="9" fontId="16" fillId="5" borderId="1" xfId="0" applyNumberFormat="1" applyFont="1" applyFill="1" applyBorder="1" applyAlignment="1">
      <alignment horizontal="center" vertical="center"/>
    </xf>
    <xf numFmtId="164" fontId="16" fillId="0" borderId="5" xfId="0" applyFont="1" applyBorder="1" applyAlignment="1">
      <alignment horizontal="center" vertical="center"/>
    </xf>
    <xf numFmtId="0" fontId="16" fillId="0" borderId="5" xfId="0" applyNumberFormat="1" applyFont="1" applyBorder="1" applyAlignment="1">
      <alignment horizontal="center" vertical="center"/>
    </xf>
    <xf numFmtId="164" fontId="10" fillId="5" borderId="1" xfId="0" applyFont="1" applyFill="1" applyBorder="1" applyAlignment="1">
      <alignment horizontal="left" vertical="top" wrapText="1"/>
    </xf>
    <xf numFmtId="49" fontId="34" fillId="5" borderId="1" xfId="0" applyNumberFormat="1" applyFont="1" applyFill="1" applyBorder="1" applyAlignment="1">
      <alignment horizontal="left" vertical="top" wrapText="1"/>
    </xf>
    <xf numFmtId="49" fontId="16" fillId="5" borderId="1" xfId="0" applyNumberFormat="1" applyFont="1" applyFill="1" applyBorder="1" applyAlignment="1">
      <alignment horizontal="left" vertical="top" wrapText="1"/>
    </xf>
    <xf numFmtId="166" fontId="17" fillId="5" borderId="1" xfId="0" applyNumberFormat="1" applyFont="1" applyFill="1" applyBorder="1" applyAlignment="1">
      <alignment horizontal="left" vertical="top" wrapText="1"/>
    </xf>
    <xf numFmtId="49" fontId="17" fillId="5" borderId="1" xfId="0" applyNumberFormat="1" applyFont="1" applyFill="1" applyBorder="1" applyAlignment="1">
      <alignment horizontal="left" vertical="center" wrapText="1"/>
    </xf>
    <xf numFmtId="164" fontId="6" fillId="5" borderId="1" xfId="0" applyFont="1" applyFill="1" applyBorder="1" applyAlignment="1">
      <alignment horizontal="left" vertical="center" wrapText="1"/>
    </xf>
    <xf numFmtId="49" fontId="34" fillId="5" borderId="1" xfId="1" applyNumberFormat="1" applyFont="1" applyFill="1" applyBorder="1" applyAlignment="1">
      <alignment horizontal="left" vertical="center" wrapText="1"/>
    </xf>
    <xf numFmtId="166" fontId="17" fillId="5" borderId="1" xfId="4" applyNumberFormat="1" applyFont="1" applyFill="1" applyBorder="1" applyAlignment="1">
      <alignment horizontal="left" vertical="top" wrapText="1"/>
    </xf>
    <xf numFmtId="164" fontId="6" fillId="5" borderId="1" xfId="0" applyFont="1" applyFill="1" applyBorder="1" applyAlignment="1">
      <alignment vertical="center" wrapText="1"/>
    </xf>
    <xf numFmtId="164" fontId="6" fillId="5" borderId="1" xfId="4" applyFont="1" applyFill="1" applyBorder="1" applyAlignment="1">
      <alignment vertical="center" wrapText="1"/>
    </xf>
    <xf numFmtId="166" fontId="6" fillId="5" borderId="1" xfId="0" applyNumberFormat="1" applyFont="1" applyFill="1" applyBorder="1" applyAlignment="1">
      <alignment horizontal="left" vertical="top" wrapText="1"/>
    </xf>
    <xf numFmtId="166" fontId="6" fillId="2" borderId="1" xfId="0" applyNumberFormat="1" applyFont="1" applyFill="1" applyBorder="1" applyAlignment="1">
      <alignment horizontal="center" vertical="center" wrapText="1"/>
    </xf>
    <xf numFmtId="164" fontId="16" fillId="5" borderId="1" xfId="0" applyFont="1" applyFill="1" applyBorder="1" applyAlignment="1">
      <alignment horizontal="left" vertical="center" wrapText="1"/>
    </xf>
    <xf numFmtId="164" fontId="6" fillId="5" borderId="1" xfId="0" applyFont="1" applyFill="1" applyBorder="1" applyAlignment="1">
      <alignment vertical="center"/>
    </xf>
    <xf numFmtId="49" fontId="6" fillId="0" borderId="1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vertical="center"/>
    </xf>
    <xf numFmtId="164" fontId="0" fillId="0" borderId="0" xfId="0" applyAlignment="1">
      <alignment vertical="center"/>
    </xf>
    <xf numFmtId="164" fontId="24" fillId="0" borderId="1" xfId="0" applyFont="1" applyBorder="1" applyAlignment="1">
      <alignment horizontal="left" vertical="center"/>
    </xf>
    <xf numFmtId="164" fontId="25" fillId="5" borderId="1" xfId="0" applyFont="1" applyFill="1" applyBorder="1" applyAlignment="1">
      <alignment vertical="center"/>
    </xf>
    <xf numFmtId="164" fontId="6" fillId="0" borderId="1" xfId="0" applyFont="1" applyBorder="1" applyAlignment="1">
      <alignment horizontal="left" vertical="center"/>
    </xf>
    <xf numFmtId="164" fontId="40" fillId="0" borderId="0" xfId="0" applyFont="1" applyAlignment="1">
      <alignment horizontal="left" vertical="center"/>
    </xf>
    <xf numFmtId="164" fontId="43" fillId="6" borderId="10" xfId="0" applyFont="1" applyFill="1" applyBorder="1" applyAlignment="1">
      <alignment horizontal="left" vertical="center"/>
    </xf>
    <xf numFmtId="14" fontId="42" fillId="0" borderId="1" xfId="1" applyNumberFormat="1" applyFont="1" applyBorder="1" applyAlignment="1">
      <alignment horizontal="center" vertical="center"/>
    </xf>
    <xf numFmtId="165" fontId="42" fillId="0" borderId="1" xfId="1" applyNumberFormat="1" applyFont="1" applyBorder="1" applyAlignment="1">
      <alignment horizontal="center" vertical="center"/>
    </xf>
    <xf numFmtId="164" fontId="42" fillId="0" borderId="10" xfId="1" applyFont="1" applyBorder="1" applyAlignment="1">
      <alignment horizontal="center" vertical="center"/>
    </xf>
    <xf numFmtId="164" fontId="44" fillId="0" borderId="10" xfId="0" applyFont="1" applyBorder="1" applyAlignment="1">
      <alignment horizontal="left" vertical="center" wrapText="1"/>
    </xf>
    <xf numFmtId="164" fontId="42" fillId="0" borderId="2" xfId="0" applyFont="1" applyBorder="1" applyAlignment="1">
      <alignment vertical="center"/>
    </xf>
    <xf numFmtId="164" fontId="39" fillId="0" borderId="0" xfId="0" applyFont="1" applyAlignment="1">
      <alignment vertical="center"/>
    </xf>
    <xf numFmtId="164" fontId="40" fillId="0" borderId="0" xfId="0" applyFont="1" applyAlignment="1">
      <alignment vertical="center"/>
    </xf>
    <xf numFmtId="164" fontId="41" fillId="21" borderId="1" xfId="0" applyFont="1" applyFill="1" applyBorder="1" applyAlignment="1">
      <alignment horizontal="center" vertical="center"/>
    </xf>
    <xf numFmtId="164" fontId="41" fillId="21" borderId="4" xfId="0" applyFont="1" applyFill="1" applyBorder="1" applyAlignment="1">
      <alignment horizontal="center" vertical="center"/>
    </xf>
    <xf numFmtId="164" fontId="41" fillId="21" borderId="9" xfId="0" applyFont="1" applyFill="1" applyBorder="1" applyAlignment="1">
      <alignment horizontal="center" vertical="center"/>
    </xf>
    <xf numFmtId="0" fontId="43" fillId="0" borderId="8" xfId="0" applyNumberFormat="1" applyFont="1" applyBorder="1" applyAlignment="1">
      <alignment vertical="center" wrapText="1"/>
    </xf>
    <xf numFmtId="49" fontId="42" fillId="0" borderId="4" xfId="1" applyNumberFormat="1" applyFont="1" applyBorder="1" applyAlignment="1">
      <alignment vertical="center" wrapText="1"/>
    </xf>
    <xf numFmtId="164" fontId="44" fillId="0" borderId="0" xfId="0" applyFont="1" applyAlignment="1">
      <alignment vertical="center"/>
    </xf>
    <xf numFmtId="49" fontId="47" fillId="5" borderId="1" xfId="1" applyNumberFormat="1" applyFont="1" applyFill="1" applyBorder="1" applyAlignment="1">
      <alignment horizontal="left" vertical="center" wrapText="1"/>
    </xf>
    <xf numFmtId="49" fontId="50" fillId="5" borderId="1" xfId="0" applyNumberFormat="1" applyFont="1" applyFill="1" applyBorder="1" applyAlignment="1">
      <alignment horizontal="left" vertical="top" wrapText="1"/>
    </xf>
    <xf numFmtId="0" fontId="22" fillId="16" borderId="9" xfId="0" applyNumberFormat="1" applyFont="1" applyFill="1" applyBorder="1" applyAlignment="1">
      <alignment horizontal="center" vertical="center"/>
    </xf>
    <xf numFmtId="0" fontId="22" fillId="16" borderId="11" xfId="0" applyNumberFormat="1" applyFont="1" applyFill="1" applyBorder="1" applyAlignment="1">
      <alignment horizontal="center" vertical="center"/>
    </xf>
    <xf numFmtId="0" fontId="22" fillId="16" borderId="10" xfId="0" applyNumberFormat="1" applyFont="1" applyFill="1" applyBorder="1" applyAlignment="1">
      <alignment horizontal="left" vertical="center"/>
    </xf>
    <xf numFmtId="0" fontId="22" fillId="5" borderId="5" xfId="0" applyNumberFormat="1" applyFont="1" applyFill="1" applyBorder="1" applyAlignment="1">
      <alignment horizontal="center" vertical="center"/>
    </xf>
    <xf numFmtId="0" fontId="12" fillId="5" borderId="5" xfId="0" applyNumberFormat="1" applyFont="1" applyFill="1" applyBorder="1" applyAlignment="1">
      <alignment horizontal="center" vertical="center"/>
    </xf>
    <xf numFmtId="0" fontId="22" fillId="5" borderId="10" xfId="0" applyNumberFormat="1" applyFont="1" applyFill="1" applyBorder="1" applyAlignment="1">
      <alignment horizontal="center" vertical="center"/>
    </xf>
    <xf numFmtId="0" fontId="12" fillId="0" borderId="5" xfId="0" applyNumberFormat="1" applyFont="1" applyBorder="1" applyAlignment="1">
      <alignment horizontal="left" vertical="center"/>
    </xf>
    <xf numFmtId="164" fontId="25" fillId="22" borderId="1" xfId="0" applyFont="1" applyFill="1" applyBorder="1" applyAlignment="1">
      <alignment horizontal="center" vertical="center"/>
    </xf>
    <xf numFmtId="164" fontId="6" fillId="22" borderId="1" xfId="0" applyFont="1" applyFill="1" applyBorder="1" applyAlignment="1">
      <alignment horizontal="center" vertical="center"/>
    </xf>
    <xf numFmtId="0" fontId="9" fillId="2" borderId="1" xfId="0" applyNumberFormat="1" applyFont="1" applyFill="1" applyBorder="1" applyAlignment="1">
      <alignment horizontal="center" vertical="top" wrapText="1"/>
    </xf>
    <xf numFmtId="164" fontId="6" fillId="5" borderId="1" xfId="0" applyFont="1" applyFill="1" applyBorder="1" applyAlignment="1">
      <alignment vertical="top" wrapText="1"/>
    </xf>
    <xf numFmtId="0" fontId="12" fillId="0" borderId="1" xfId="0" applyNumberFormat="1" applyFont="1" applyBorder="1" applyAlignment="1">
      <alignment vertical="top"/>
    </xf>
    <xf numFmtId="0" fontId="12" fillId="0" borderId="0" xfId="0" applyNumberFormat="1" applyFont="1" applyAlignment="1">
      <alignment vertical="top"/>
    </xf>
    <xf numFmtId="164" fontId="6" fillId="5" borderId="1" xfId="0" applyFont="1" applyFill="1" applyBorder="1"/>
    <xf numFmtId="0" fontId="28" fillId="0" borderId="1" xfId="0" applyNumberFormat="1" applyFont="1" applyBorder="1" applyAlignment="1">
      <alignment horizontal="center" vertical="center"/>
    </xf>
    <xf numFmtId="164" fontId="25" fillId="4" borderId="1" xfId="0" applyFont="1" applyFill="1" applyBorder="1" applyAlignment="1">
      <alignment horizontal="center" vertical="center"/>
    </xf>
    <xf numFmtId="164" fontId="24" fillId="4" borderId="1" xfId="0" applyFont="1" applyFill="1" applyBorder="1" applyAlignment="1">
      <alignment horizontal="center" vertical="center"/>
    </xf>
    <xf numFmtId="164" fontId="51" fillId="0" borderId="1" xfId="0" applyFont="1" applyBorder="1" applyAlignment="1">
      <alignment horizontal="center" vertical="center"/>
    </xf>
    <xf numFmtId="0" fontId="22" fillId="16" borderId="10" xfId="0" applyNumberFormat="1" applyFont="1" applyFill="1" applyBorder="1" applyAlignment="1">
      <alignment horizontal="center" vertical="center"/>
    </xf>
    <xf numFmtId="164" fontId="12" fillId="0" borderId="5" xfId="0" applyFont="1" applyBorder="1"/>
    <xf numFmtId="0" fontId="22" fillId="0" borderId="5" xfId="0" applyNumberFormat="1" applyFont="1" applyBorder="1" applyAlignment="1">
      <alignment horizontal="center" vertical="center"/>
    </xf>
    <xf numFmtId="164" fontId="52" fillId="23" borderId="0" xfId="0" applyFont="1" applyFill="1"/>
    <xf numFmtId="164" fontId="52" fillId="23" borderId="5" xfId="0" applyFont="1" applyFill="1" applyBorder="1" applyAlignment="1">
      <alignment wrapText="1"/>
    </xf>
    <xf numFmtId="0" fontId="12" fillId="0" borderId="12" xfId="0" applyNumberFormat="1" applyFont="1" applyBorder="1" applyAlignment="1">
      <alignment wrapText="1"/>
    </xf>
    <xf numFmtId="0" fontId="12" fillId="0" borderId="3" xfId="0" applyNumberFormat="1" applyFont="1" applyBorder="1" applyAlignment="1">
      <alignment wrapText="1"/>
    </xf>
    <xf numFmtId="164" fontId="54" fillId="24" borderId="1" xfId="0" applyFont="1" applyFill="1" applyBorder="1" applyAlignment="1">
      <alignment vertical="center" wrapText="1"/>
    </xf>
    <xf numFmtId="166" fontId="57" fillId="2" borderId="1" xfId="0" applyNumberFormat="1" applyFont="1" applyFill="1" applyBorder="1" applyAlignment="1">
      <alignment horizontal="center" vertical="center" wrapText="1"/>
    </xf>
    <xf numFmtId="166" fontId="58" fillId="3" borderId="1" xfId="0" applyNumberFormat="1" applyFont="1" applyFill="1" applyBorder="1" applyAlignment="1">
      <alignment horizontal="center" vertical="center" textRotation="90" wrapText="1"/>
    </xf>
    <xf numFmtId="164" fontId="2" fillId="0" borderId="0" xfId="0" applyFont="1"/>
    <xf numFmtId="164" fontId="59" fillId="0" borderId="1" xfId="0" applyFont="1" applyBorder="1" applyAlignment="1">
      <alignment horizontal="left" vertical="center"/>
    </xf>
    <xf numFmtId="164" fontId="60" fillId="13" borderId="1" xfId="0" applyFont="1" applyFill="1" applyBorder="1" applyAlignment="1">
      <alignment vertical="center"/>
    </xf>
    <xf numFmtId="164" fontId="60" fillId="0" borderId="1" xfId="0" applyFont="1" applyBorder="1" applyAlignment="1">
      <alignment horizontal="center" vertical="center"/>
    </xf>
    <xf numFmtId="164" fontId="59" fillId="0" borderId="1" xfId="0" applyFont="1" applyBorder="1" applyAlignment="1">
      <alignment vertical="center"/>
    </xf>
    <xf numFmtId="164" fontId="59" fillId="13" borderId="1" xfId="0" applyFont="1" applyFill="1" applyBorder="1" applyAlignment="1">
      <alignment horizontal="left" vertical="center" wrapText="1"/>
    </xf>
    <xf numFmtId="0" fontId="59" fillId="0" borderId="1" xfId="0" applyNumberFormat="1" applyFont="1" applyBorder="1" applyAlignment="1">
      <alignment horizontal="left" vertical="top" wrapText="1"/>
    </xf>
    <xf numFmtId="0" fontId="59" fillId="24" borderId="1" xfId="0" applyNumberFormat="1" applyFont="1" applyFill="1" applyBorder="1" applyAlignment="1">
      <alignment vertical="top" wrapText="1"/>
    </xf>
    <xf numFmtId="0" fontId="59" fillId="0" borderId="1" xfId="0" applyNumberFormat="1" applyFont="1" applyBorder="1" applyAlignment="1">
      <alignment vertical="top" wrapText="1"/>
    </xf>
    <xf numFmtId="0" fontId="59" fillId="0" borderId="1" xfId="0" applyNumberFormat="1" applyFont="1" applyBorder="1" applyAlignment="1">
      <alignment vertical="top"/>
    </xf>
    <xf numFmtId="0" fontId="59" fillId="0" borderId="1" xfId="0" applyNumberFormat="1" applyFont="1" applyBorder="1" applyAlignment="1">
      <alignment horizontal="left" vertical="top"/>
    </xf>
    <xf numFmtId="164" fontId="59" fillId="0" borderId="0" xfId="0" applyFont="1" applyAlignment="1">
      <alignment vertical="center"/>
    </xf>
    <xf numFmtId="164" fontId="59" fillId="0" borderId="1" xfId="0" applyFont="1" applyBorder="1" applyAlignment="1">
      <alignment horizontal="center" vertical="center"/>
    </xf>
    <xf numFmtId="49" fontId="59" fillId="0" borderId="1" xfId="0" applyNumberFormat="1" applyFont="1" applyBorder="1" applyAlignment="1">
      <alignment vertical="center"/>
    </xf>
    <xf numFmtId="164" fontId="60" fillId="5" borderId="1" xfId="0" applyFont="1" applyFill="1" applyBorder="1" applyAlignment="1">
      <alignment vertical="center"/>
    </xf>
    <xf numFmtId="49" fontId="60" fillId="0" borderId="1" xfId="0" applyNumberFormat="1" applyFont="1" applyBorder="1" applyAlignment="1">
      <alignment vertical="center"/>
    </xf>
    <xf numFmtId="49" fontId="59" fillId="5" borderId="1" xfId="0" applyNumberFormat="1" applyFont="1" applyFill="1" applyBorder="1" applyAlignment="1">
      <alignment horizontal="left" vertical="center" wrapText="1"/>
    </xf>
    <xf numFmtId="0" fontId="60" fillId="0" borderId="1" xfId="0" applyNumberFormat="1" applyFont="1" applyBorder="1" applyAlignment="1">
      <alignment horizontal="left" vertical="top" wrapText="1"/>
    </xf>
    <xf numFmtId="0" fontId="59" fillId="24" borderId="1" xfId="0" applyNumberFormat="1" applyFont="1" applyFill="1" applyBorder="1" applyAlignment="1">
      <alignment vertical="top"/>
    </xf>
    <xf numFmtId="0" fontId="60" fillId="24" borderId="1" xfId="0" applyNumberFormat="1" applyFont="1" applyFill="1" applyBorder="1" applyAlignment="1">
      <alignment horizontal="left" vertical="top" wrapText="1"/>
    </xf>
    <xf numFmtId="164" fontId="59" fillId="5" borderId="1" xfId="0" applyFont="1" applyFill="1" applyBorder="1" applyAlignment="1">
      <alignment vertical="center"/>
    </xf>
    <xf numFmtId="164" fontId="59" fillId="0" borderId="1" xfId="0" applyFont="1" applyBorder="1" applyAlignment="1">
      <alignment vertical="center" wrapText="1"/>
    </xf>
    <xf numFmtId="0" fontId="59" fillId="5" borderId="1" xfId="0" applyNumberFormat="1" applyFont="1" applyFill="1" applyBorder="1" applyAlignment="1">
      <alignment vertical="top" wrapText="1"/>
    </xf>
    <xf numFmtId="0" fontId="56" fillId="8" borderId="1" xfId="0" applyNumberFormat="1" applyFont="1" applyFill="1" applyBorder="1" applyAlignment="1">
      <alignment horizontal="center" vertical="center" wrapText="1"/>
    </xf>
    <xf numFmtId="0" fontId="59" fillId="0" borderId="1" xfId="0" applyNumberFormat="1" applyFont="1" applyBorder="1" applyAlignment="1">
      <alignment horizontal="center" vertical="center" wrapText="1"/>
    </xf>
    <xf numFmtId="0" fontId="59" fillId="0" borderId="1" xfId="0" applyNumberFormat="1" applyFont="1" applyBorder="1" applyAlignment="1">
      <alignment horizontal="center" vertical="center"/>
    </xf>
    <xf numFmtId="0" fontId="55" fillId="0" borderId="1" xfId="0" applyNumberFormat="1" applyFont="1" applyBorder="1" applyAlignment="1">
      <alignment horizontal="center" vertical="center" wrapText="1"/>
    </xf>
    <xf numFmtId="0" fontId="55" fillId="0" borderId="1" xfId="0" applyNumberFormat="1" applyFont="1" applyBorder="1" applyAlignment="1">
      <alignment horizontal="center" vertical="center"/>
    </xf>
    <xf numFmtId="164" fontId="24" fillId="24" borderId="1" xfId="0" applyFont="1" applyFill="1" applyBorder="1" applyAlignment="1">
      <alignment horizontal="center" vertical="center"/>
    </xf>
    <xf numFmtId="164" fontId="25" fillId="24" borderId="1" xfId="0" applyFont="1" applyFill="1" applyBorder="1" applyAlignment="1">
      <alignment horizontal="center" vertical="center"/>
    </xf>
    <xf numFmtId="164" fontId="25" fillId="24" borderId="1" xfId="0" applyFont="1" applyFill="1" applyBorder="1" applyAlignment="1">
      <alignment vertical="center"/>
    </xf>
    <xf numFmtId="0" fontId="12" fillId="24" borderId="1" xfId="0" applyNumberFormat="1" applyFont="1" applyFill="1" applyBorder="1" applyAlignment="1">
      <alignment horizontal="center" vertical="center"/>
    </xf>
    <xf numFmtId="0" fontId="12" fillId="24" borderId="1" xfId="0" applyNumberFormat="1" applyFont="1" applyFill="1" applyBorder="1" applyAlignment="1">
      <alignment horizontal="center" vertical="center" wrapText="1"/>
    </xf>
    <xf numFmtId="0" fontId="12" fillId="24" borderId="4" xfId="0" applyNumberFormat="1" applyFont="1" applyFill="1" applyBorder="1" applyAlignment="1">
      <alignment horizontal="center" vertical="center"/>
    </xf>
    <xf numFmtId="0" fontId="12" fillId="24" borderId="4" xfId="0" applyNumberFormat="1" applyFont="1" applyFill="1" applyBorder="1" applyAlignment="1">
      <alignment horizontal="center" vertical="center" wrapText="1"/>
    </xf>
    <xf numFmtId="0" fontId="12" fillId="24" borderId="0" xfId="0" applyNumberFormat="1" applyFont="1" applyFill="1" applyAlignment="1">
      <alignment horizontal="center" vertical="center"/>
    </xf>
    <xf numFmtId="164" fontId="24" fillId="24" borderId="1" xfId="0" applyFont="1" applyFill="1" applyBorder="1" applyAlignment="1">
      <alignment horizontal="center" vertical="center" wrapText="1"/>
    </xf>
    <xf numFmtId="164" fontId="50" fillId="0" borderId="0" xfId="0" applyFont="1"/>
    <xf numFmtId="49" fontId="25" fillId="24" borderId="1" xfId="0" applyNumberFormat="1" applyFont="1" applyFill="1" applyBorder="1" applyAlignment="1">
      <alignment horizontal="center" vertical="center"/>
    </xf>
    <xf numFmtId="164" fontId="25" fillId="24" borderId="1" xfId="0" applyFont="1" applyFill="1" applyBorder="1"/>
    <xf numFmtId="164" fontId="24" fillId="24" borderId="1" xfId="0" applyFont="1" applyFill="1" applyBorder="1" applyAlignment="1">
      <alignment vertical="center"/>
    </xf>
    <xf numFmtId="0" fontId="12" fillId="24" borderId="1" xfId="0" applyNumberFormat="1" applyFont="1" applyFill="1" applyBorder="1"/>
    <xf numFmtId="0" fontId="12" fillId="24" borderId="1" xfId="0" applyNumberFormat="1" applyFont="1" applyFill="1" applyBorder="1" applyAlignment="1">
      <alignment wrapText="1"/>
    </xf>
    <xf numFmtId="0" fontId="12" fillId="24" borderId="4" xfId="0" applyNumberFormat="1" applyFont="1" applyFill="1" applyBorder="1"/>
    <xf numFmtId="0" fontId="12" fillId="24" borderId="4" xfId="0" applyNumberFormat="1" applyFont="1" applyFill="1" applyBorder="1" applyAlignment="1">
      <alignment wrapText="1"/>
    </xf>
    <xf numFmtId="166" fontId="17" fillId="24" borderId="1" xfId="0" applyNumberFormat="1" applyFont="1" applyFill="1" applyBorder="1" applyAlignment="1">
      <alignment horizontal="left" vertical="top" wrapText="1"/>
    </xf>
    <xf numFmtId="0" fontId="12" fillId="24" borderId="0" xfId="0" applyNumberFormat="1" applyFont="1" applyFill="1"/>
    <xf numFmtId="164" fontId="29" fillId="24" borderId="1" xfId="0" applyFont="1" applyFill="1" applyBorder="1" applyAlignment="1">
      <alignment horizontal="left" wrapText="1"/>
    </xf>
    <xf numFmtId="164" fontId="29" fillId="24" borderId="1" xfId="0" applyFont="1" applyFill="1" applyBorder="1"/>
    <xf numFmtId="164" fontId="29" fillId="24" borderId="1" xfId="0" applyFont="1" applyFill="1" applyBorder="1" applyAlignment="1">
      <alignment horizontal="center"/>
    </xf>
    <xf numFmtId="164" fontId="29" fillId="24" borderId="1" xfId="0" applyFont="1" applyFill="1" applyBorder="1" applyAlignment="1">
      <alignment vertical="center"/>
    </xf>
    <xf numFmtId="164" fontId="6" fillId="24" borderId="1" xfId="0" applyFont="1" applyFill="1" applyBorder="1" applyAlignment="1">
      <alignment vertical="center" wrapText="1"/>
    </xf>
    <xf numFmtId="164" fontId="6" fillId="13" borderId="1" xfId="0" applyFont="1" applyFill="1" applyBorder="1" applyAlignment="1">
      <alignment horizontal="center" vertical="center"/>
    </xf>
    <xf numFmtId="0" fontId="12" fillId="0" borderId="7" xfId="0" applyNumberFormat="1" applyFont="1" applyBorder="1" applyAlignment="1">
      <alignment wrapText="1"/>
    </xf>
    <xf numFmtId="0" fontId="12" fillId="0" borderId="2" xfId="0" applyNumberFormat="1" applyFont="1" applyBorder="1" applyAlignment="1">
      <alignment wrapText="1"/>
    </xf>
    <xf numFmtId="164" fontId="24" fillId="25" borderId="1" xfId="0" applyFont="1" applyFill="1" applyBorder="1" applyAlignment="1">
      <alignment horizontal="center" vertical="center"/>
    </xf>
    <xf numFmtId="164" fontId="25" fillId="25" borderId="1" xfId="0" applyFont="1" applyFill="1" applyBorder="1" applyAlignment="1">
      <alignment horizontal="center" vertical="center"/>
    </xf>
    <xf numFmtId="0" fontId="12" fillId="0" borderId="12" xfId="0" applyNumberFormat="1" applyFont="1" applyBorder="1" applyAlignment="1">
      <alignment horizontal="center" vertical="center" wrapText="1"/>
    </xf>
    <xf numFmtId="0" fontId="12" fillId="0" borderId="3" xfId="0" applyNumberFormat="1" applyFont="1" applyBorder="1"/>
    <xf numFmtId="0" fontId="12" fillId="0" borderId="7" xfId="0" applyNumberFormat="1" applyFont="1" applyBorder="1" applyAlignment="1">
      <alignment horizontal="center" vertical="center" wrapText="1"/>
    </xf>
    <xf numFmtId="164" fontId="52" fillId="23" borderId="6" xfId="0" applyFont="1" applyFill="1" applyBorder="1" applyAlignment="1">
      <alignment wrapText="1"/>
    </xf>
    <xf numFmtId="164" fontId="52" fillId="23" borderId="15" xfId="0" applyFont="1" applyFill="1" applyBorder="1" applyAlignment="1">
      <alignment wrapText="1"/>
    </xf>
    <xf numFmtId="0" fontId="12" fillId="0" borderId="13" xfId="0" applyNumberFormat="1" applyFont="1" applyBorder="1" applyAlignment="1">
      <alignment wrapText="1"/>
    </xf>
    <xf numFmtId="0" fontId="12" fillId="0" borderId="5" xfId="0" applyNumberFormat="1" applyFont="1" applyBorder="1" applyAlignment="1">
      <alignment horizontal="center" vertical="center" wrapText="1"/>
    </xf>
    <xf numFmtId="0" fontId="12" fillId="0" borderId="5" xfId="0" applyNumberFormat="1" applyFont="1" applyBorder="1" applyAlignment="1">
      <alignment wrapText="1"/>
    </xf>
    <xf numFmtId="0" fontId="12" fillId="0" borderId="14" xfId="0" applyNumberFormat="1" applyFont="1" applyBorder="1" applyAlignment="1">
      <alignment wrapText="1"/>
    </xf>
    <xf numFmtId="0" fontId="61" fillId="16" borderId="5" xfId="0" applyNumberFormat="1" applyFont="1" applyFill="1" applyBorder="1" applyAlignment="1">
      <alignment horizontal="center" vertical="center"/>
    </xf>
    <xf numFmtId="0" fontId="61" fillId="0" borderId="5" xfId="0" applyNumberFormat="1" applyFont="1" applyBorder="1" applyAlignment="1">
      <alignment horizontal="center" vertical="center"/>
    </xf>
    <xf numFmtId="0" fontId="61" fillId="16" borderId="5" xfId="0" applyNumberFormat="1" applyFont="1" applyFill="1" applyBorder="1" applyAlignment="1">
      <alignment horizontal="left" vertical="center"/>
    </xf>
    <xf numFmtId="0" fontId="12" fillId="0" borderId="7" xfId="0" applyNumberFormat="1" applyFont="1" applyBorder="1" applyAlignment="1">
      <alignment horizontal="center" vertical="center"/>
    </xf>
    <xf numFmtId="0" fontId="12" fillId="0" borderId="13" xfId="0" applyNumberFormat="1" applyFont="1" applyBorder="1" applyAlignment="1">
      <alignment horizontal="center" vertical="center"/>
    </xf>
    <xf numFmtId="164" fontId="52" fillId="23" borderId="10" xfId="0" applyFont="1" applyFill="1" applyBorder="1" applyAlignment="1">
      <alignment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34" fillId="3" borderId="1" xfId="0" applyNumberFormat="1" applyFont="1" applyFill="1" applyBorder="1" applyAlignment="1">
      <alignment horizontal="center" vertical="center" textRotation="90" wrapText="1"/>
    </xf>
    <xf numFmtId="0" fontId="0" fillId="0" borderId="0" xfId="0" applyNumberFormat="1" applyAlignment="1">
      <alignment vertical="center"/>
    </xf>
    <xf numFmtId="0" fontId="24" fillId="0" borderId="1" xfId="0" applyNumberFormat="1" applyFont="1" applyBorder="1" applyAlignment="1">
      <alignment horizontal="left" vertical="center"/>
    </xf>
    <xf numFmtId="0" fontId="25" fillId="5" borderId="1" xfId="0" applyNumberFormat="1" applyFont="1" applyFill="1" applyBorder="1" applyAlignment="1">
      <alignment vertical="center"/>
    </xf>
    <xf numFmtId="0" fontId="24" fillId="0" borderId="1" xfId="0" applyNumberFormat="1" applyFont="1" applyBorder="1" applyAlignment="1">
      <alignment horizontal="center" vertical="center"/>
    </xf>
    <xf numFmtId="0" fontId="24" fillId="0" borderId="1" xfId="0" applyNumberFormat="1" applyFont="1" applyBorder="1" applyAlignment="1">
      <alignment vertical="center"/>
    </xf>
    <xf numFmtId="0" fontId="25" fillId="0" borderId="1" xfId="0" applyNumberFormat="1" applyFont="1" applyBorder="1" applyAlignment="1">
      <alignment horizontal="left" vertical="center" wrapText="1"/>
    </xf>
    <xf numFmtId="0" fontId="34" fillId="0" borderId="1" xfId="0" applyNumberFormat="1" applyFont="1" applyBorder="1" applyAlignment="1">
      <alignment horizontal="left" vertical="center" wrapText="1"/>
    </xf>
    <xf numFmtId="0" fontId="6" fillId="0" borderId="1" xfId="0" applyNumberFormat="1" applyFont="1" applyBorder="1" applyAlignment="1">
      <alignment vertical="center" wrapText="1"/>
    </xf>
    <xf numFmtId="0" fontId="6" fillId="24" borderId="1" xfId="0" applyNumberFormat="1" applyFont="1" applyFill="1" applyBorder="1" applyAlignment="1">
      <alignment vertical="center"/>
    </xf>
    <xf numFmtId="0" fontId="16" fillId="0" borderId="1" xfId="0" applyNumberFormat="1" applyFont="1" applyBorder="1" applyAlignment="1">
      <alignment horizontal="left" vertical="center" wrapText="1"/>
    </xf>
    <xf numFmtId="0" fontId="6" fillId="0" borderId="1" xfId="0" applyNumberFormat="1" applyFont="1" applyBorder="1" applyAlignment="1">
      <alignment vertical="center"/>
    </xf>
    <xf numFmtId="0" fontId="6" fillId="0" borderId="1" xfId="0" applyNumberFormat="1" applyFont="1" applyBorder="1" applyAlignment="1">
      <alignment horizontal="left" vertical="center"/>
    </xf>
    <xf numFmtId="0" fontId="6" fillId="5" borderId="1" xfId="0" applyNumberFormat="1" applyFont="1" applyFill="1" applyBorder="1" applyAlignment="1">
      <alignment horizontal="left" vertical="center"/>
    </xf>
    <xf numFmtId="0" fontId="6" fillId="5" borderId="1" xfId="0" applyNumberFormat="1" applyFont="1" applyFill="1" applyBorder="1" applyAlignment="1">
      <alignment vertical="center"/>
    </xf>
    <xf numFmtId="0" fontId="34" fillId="5" borderId="1" xfId="0" applyNumberFormat="1" applyFont="1" applyFill="1" applyBorder="1" applyAlignment="1">
      <alignment vertical="center"/>
    </xf>
    <xf numFmtId="0" fontId="34" fillId="5" borderId="1" xfId="0" applyNumberFormat="1" applyFont="1" applyFill="1" applyBorder="1" applyAlignment="1">
      <alignment horizontal="left" vertical="center" wrapText="1"/>
    </xf>
    <xf numFmtId="0" fontId="17" fillId="5" borderId="1" xfId="0" applyNumberFormat="1" applyFont="1" applyFill="1" applyBorder="1" applyAlignment="1">
      <alignment horizontal="left" vertical="top" wrapText="1"/>
    </xf>
    <xf numFmtId="0" fontId="16" fillId="5" borderId="1" xfId="0" applyNumberFormat="1" applyFont="1" applyFill="1" applyBorder="1" applyAlignment="1">
      <alignment horizontal="left" vertical="top" wrapText="1"/>
    </xf>
    <xf numFmtId="0" fontId="34" fillId="0" borderId="1" xfId="0" applyNumberFormat="1" applyFont="1" applyBorder="1" applyAlignment="1">
      <alignment horizontal="center" vertical="center" wrapText="1"/>
    </xf>
    <xf numFmtId="0" fontId="25" fillId="26" borderId="1" xfId="0" applyNumberFormat="1" applyFont="1" applyFill="1" applyBorder="1" applyAlignment="1">
      <alignment horizontal="left" vertical="center" wrapText="1"/>
    </xf>
    <xf numFmtId="0" fontId="40" fillId="0" borderId="0" xfId="0" applyNumberFormat="1" applyFont="1" applyAlignment="1">
      <alignment vertical="center"/>
    </xf>
    <xf numFmtId="0" fontId="59" fillId="2" borderId="1" xfId="0" applyNumberFormat="1" applyFont="1" applyFill="1" applyBorder="1" applyAlignment="1">
      <alignment horizontal="center" vertical="center" wrapText="1"/>
    </xf>
    <xf numFmtId="0" fontId="60" fillId="3" borderId="1" xfId="0" applyNumberFormat="1" applyFont="1" applyFill="1" applyBorder="1" applyAlignment="1">
      <alignment horizontal="center" vertical="center" textRotation="90" wrapText="1"/>
    </xf>
    <xf numFmtId="0" fontId="59" fillId="0" borderId="0" xfId="0" applyNumberFormat="1" applyFont="1" applyAlignment="1">
      <alignment vertical="center"/>
    </xf>
    <xf numFmtId="0" fontId="59" fillId="0" borderId="1" xfId="0" applyNumberFormat="1" applyFont="1" applyBorder="1" applyAlignment="1">
      <alignment horizontal="left" vertical="center"/>
    </xf>
    <xf numFmtId="0" fontId="60" fillId="5" borderId="1" xfId="0" applyNumberFormat="1" applyFont="1" applyFill="1" applyBorder="1" applyAlignment="1">
      <alignment vertical="center"/>
    </xf>
    <xf numFmtId="0" fontId="59" fillId="0" borderId="1" xfId="0" applyNumberFormat="1" applyFont="1" applyBorder="1" applyAlignment="1">
      <alignment vertical="center"/>
    </xf>
    <xf numFmtId="0" fontId="59" fillId="0" borderId="1" xfId="0" applyNumberFormat="1" applyFont="1" applyBorder="1" applyAlignment="1">
      <alignment vertical="center" wrapText="1"/>
    </xf>
    <xf numFmtId="0" fontId="59" fillId="5" borderId="1" xfId="0" applyNumberFormat="1" applyFont="1" applyFill="1" applyBorder="1" applyAlignment="1">
      <alignment horizontal="left" vertical="top" wrapText="1"/>
    </xf>
    <xf numFmtId="0" fontId="59" fillId="24" borderId="1" xfId="0" applyNumberFormat="1" applyFont="1" applyFill="1" applyBorder="1" applyAlignment="1">
      <alignment vertical="center"/>
    </xf>
    <xf numFmtId="0" fontId="59" fillId="6" borderId="1" xfId="0" applyNumberFormat="1" applyFont="1" applyFill="1" applyBorder="1" applyAlignment="1">
      <alignment horizontal="left" vertical="top" wrapText="1"/>
    </xf>
    <xf numFmtId="0" fontId="66" fillId="5" borderId="1" xfId="0" applyNumberFormat="1" applyFont="1" applyFill="1" applyBorder="1" applyAlignment="1">
      <alignment horizontal="left" vertical="top" wrapText="1"/>
    </xf>
    <xf numFmtId="0" fontId="60" fillId="0" borderId="1" xfId="0" applyNumberFormat="1" applyFont="1" applyBorder="1" applyAlignment="1">
      <alignment horizontal="center" vertical="center"/>
    </xf>
    <xf numFmtId="0" fontId="60" fillId="0" borderId="1" xfId="0" applyNumberFormat="1" applyFont="1" applyBorder="1" applyAlignment="1">
      <alignment horizontal="left" vertical="center"/>
    </xf>
    <xf numFmtId="0" fontId="60" fillId="0" borderId="1" xfId="0" applyNumberFormat="1" applyFont="1" applyBorder="1" applyAlignment="1">
      <alignment vertical="center"/>
    </xf>
    <xf numFmtId="0" fontId="60" fillId="6" borderId="1" xfId="0" applyNumberFormat="1" applyFont="1" applyFill="1" applyBorder="1" applyAlignment="1">
      <alignment horizontal="left" vertical="top" wrapText="1"/>
    </xf>
    <xf numFmtId="0" fontId="60" fillId="0" borderId="1" xfId="4" applyNumberFormat="1" applyFont="1" applyBorder="1" applyAlignment="1">
      <alignment horizontal="left" vertical="top" wrapText="1"/>
    </xf>
    <xf numFmtId="0" fontId="59" fillId="0" borderId="1" xfId="4" applyNumberFormat="1" applyFont="1" applyBorder="1" applyAlignment="1">
      <alignment vertical="top" wrapText="1"/>
    </xf>
    <xf numFmtId="0" fontId="60" fillId="5" borderId="1" xfId="0" applyNumberFormat="1" applyFont="1" applyFill="1" applyBorder="1" applyAlignment="1">
      <alignment horizontal="left" vertical="top" wrapText="1"/>
    </xf>
    <xf numFmtId="0" fontId="59" fillId="0" borderId="1" xfId="4" applyNumberFormat="1" applyFont="1" applyBorder="1" applyAlignment="1">
      <alignment vertical="top"/>
    </xf>
    <xf numFmtId="0" fontId="59" fillId="5" borderId="1" xfId="0" applyNumberFormat="1" applyFont="1" applyFill="1" applyBorder="1" applyAlignment="1">
      <alignment vertical="center"/>
    </xf>
    <xf numFmtId="0" fontId="59" fillId="0" borderId="0" xfId="0" applyNumberFormat="1" applyFont="1" applyAlignment="1">
      <alignment vertical="top"/>
    </xf>
    <xf numFmtId="0" fontId="60" fillId="8" borderId="1" xfId="0" applyNumberFormat="1" applyFont="1" applyFill="1" applyBorder="1" applyAlignment="1">
      <alignment horizontal="center" vertical="center" wrapText="1"/>
    </xf>
    <xf numFmtId="0" fontId="59" fillId="0" borderId="0" xfId="0" applyNumberFormat="1" applyFont="1"/>
    <xf numFmtId="0" fontId="60" fillId="0" borderId="1" xfId="0" applyNumberFormat="1" applyFont="1" applyBorder="1" applyAlignment="1">
      <alignment horizontal="left" vertical="center" wrapText="1"/>
    </xf>
    <xf numFmtId="0" fontId="59" fillId="0" borderId="1" xfId="0" applyNumberFormat="1" applyFont="1" applyBorder="1" applyAlignment="1">
      <alignment horizontal="left" vertical="center" wrapText="1"/>
    </xf>
    <xf numFmtId="0" fontId="60" fillId="0" borderId="1" xfId="0" applyNumberFormat="1" applyFont="1" applyBorder="1" applyAlignment="1">
      <alignment horizontal="center" vertical="center" wrapText="1"/>
    </xf>
    <xf numFmtId="0" fontId="59" fillId="5" borderId="1" xfId="0" applyNumberFormat="1" applyFont="1" applyFill="1" applyBorder="1" applyAlignment="1">
      <alignment vertical="center" wrapText="1"/>
    </xf>
    <xf numFmtId="0" fontId="59" fillId="5" borderId="1" xfId="0" applyNumberFormat="1" applyFont="1" applyFill="1" applyBorder="1" applyAlignment="1">
      <alignment horizontal="left" vertical="center"/>
    </xf>
    <xf numFmtId="0" fontId="59" fillId="0" borderId="0" xfId="0" applyNumberFormat="1" applyFont="1" applyAlignment="1">
      <alignment horizontal="center" vertical="center"/>
    </xf>
    <xf numFmtId="0" fontId="59" fillId="0" borderId="0" xfId="0" applyNumberFormat="1" applyFont="1" applyAlignment="1">
      <alignment horizontal="left" vertical="center"/>
    </xf>
    <xf numFmtId="0" fontId="59" fillId="0" borderId="1" xfId="2" applyNumberFormat="1" applyFont="1" applyBorder="1" applyAlignment="1">
      <alignment horizontal="left" vertical="center"/>
    </xf>
    <xf numFmtId="0" fontId="60" fillId="5" borderId="4" xfId="0" applyNumberFormat="1" applyFont="1" applyFill="1" applyBorder="1" applyAlignment="1">
      <alignment vertical="center"/>
    </xf>
    <xf numFmtId="0" fontId="59" fillId="0" borderId="3" xfId="0" applyNumberFormat="1" applyFont="1" applyBorder="1" applyAlignment="1">
      <alignment vertical="center"/>
    </xf>
    <xf numFmtId="0" fontId="60" fillId="5" borderId="1" xfId="1" applyNumberFormat="1" applyFont="1" applyFill="1" applyBorder="1" applyAlignment="1">
      <alignment horizontal="left" vertical="top" wrapText="1"/>
    </xf>
    <xf numFmtId="0" fontId="60" fillId="0" borderId="1" xfId="1" applyNumberFormat="1" applyFont="1" applyBorder="1" applyAlignment="1">
      <alignment horizontal="center" vertical="center" wrapText="1"/>
    </xf>
    <xf numFmtId="0" fontId="59" fillId="0" borderId="1" xfId="4" applyNumberFormat="1" applyFont="1" applyBorder="1" applyAlignment="1">
      <alignment vertical="center" wrapText="1"/>
    </xf>
    <xf numFmtId="0" fontId="60" fillId="26" borderId="1" xfId="0" applyNumberFormat="1" applyFont="1" applyFill="1" applyBorder="1" applyAlignment="1">
      <alignment horizontal="center" vertical="center"/>
    </xf>
    <xf numFmtId="166" fontId="59" fillId="2" borderId="1" xfId="0" applyNumberFormat="1" applyFont="1" applyFill="1" applyBorder="1" applyAlignment="1">
      <alignment horizontal="center" vertical="center" wrapText="1"/>
    </xf>
    <xf numFmtId="166" fontId="60" fillId="3" borderId="1" xfId="0" applyNumberFormat="1" applyFont="1" applyFill="1" applyBorder="1" applyAlignment="1">
      <alignment horizontal="center" vertical="center" textRotation="90" wrapText="1"/>
    </xf>
    <xf numFmtId="166" fontId="60" fillId="5" borderId="1" xfId="0" applyNumberFormat="1" applyFont="1" applyFill="1" applyBorder="1" applyAlignment="1">
      <alignment horizontal="left" vertical="center" wrapText="1"/>
    </xf>
    <xf numFmtId="166" fontId="59" fillId="0" borderId="1" xfId="0" applyNumberFormat="1" applyFont="1" applyBorder="1" applyAlignment="1">
      <alignment horizontal="left" vertical="center" wrapText="1"/>
    </xf>
    <xf numFmtId="166" fontId="60" fillId="0" borderId="1" xfId="0" applyNumberFormat="1" applyFont="1" applyBorder="1" applyAlignment="1">
      <alignment horizontal="left" vertical="center" wrapText="1"/>
    </xf>
    <xf numFmtId="166" fontId="60" fillId="24" borderId="1" xfId="0" applyNumberFormat="1" applyFont="1" applyFill="1" applyBorder="1" applyAlignment="1">
      <alignment horizontal="left" vertical="center" wrapText="1"/>
    </xf>
    <xf numFmtId="164" fontId="59" fillId="24" borderId="1" xfId="0" applyFont="1" applyFill="1" applyBorder="1" applyAlignment="1">
      <alignment vertical="center"/>
    </xf>
    <xf numFmtId="0" fontId="29" fillId="0" borderId="1" xfId="0" applyNumberFormat="1" applyFont="1" applyBorder="1" applyAlignment="1">
      <alignment horizontal="left" vertical="center" wrapText="1"/>
    </xf>
    <xf numFmtId="166" fontId="34" fillId="3" borderId="1" xfId="0" applyNumberFormat="1" applyFont="1" applyFill="1" applyBorder="1" applyAlignment="1">
      <alignment horizontal="center" vertical="center" textRotation="90" wrapText="1"/>
    </xf>
    <xf numFmtId="164" fontId="24" fillId="0" borderId="1" xfId="0" applyFont="1" applyBorder="1" applyAlignment="1">
      <alignment horizontal="left"/>
    </xf>
    <xf numFmtId="164" fontId="24" fillId="0" borderId="1" xfId="0" applyFont="1" applyBorder="1" applyAlignment="1">
      <alignment horizontal="center"/>
    </xf>
    <xf numFmtId="49" fontId="17" fillId="5" borderId="1" xfId="0" applyNumberFormat="1" applyFont="1" applyFill="1" applyBorder="1" applyAlignment="1">
      <alignment horizontal="left" vertical="top" wrapText="1"/>
    </xf>
    <xf numFmtId="49" fontId="34" fillId="0" borderId="1" xfId="0" applyNumberFormat="1" applyFont="1" applyBorder="1" applyAlignment="1">
      <alignment horizontal="left" vertical="top" wrapText="1"/>
    </xf>
    <xf numFmtId="164" fontId="34" fillId="0" borderId="1" xfId="0" applyFont="1" applyBorder="1" applyAlignment="1">
      <alignment horizontal="left" vertical="top" wrapText="1"/>
    </xf>
    <xf numFmtId="164" fontId="34" fillId="0" borderId="1" xfId="0" applyFont="1" applyBorder="1" applyAlignment="1">
      <alignment horizontal="left" vertical="center" wrapText="1"/>
    </xf>
    <xf numFmtId="164" fontId="6" fillId="0" borderId="1" xfId="0" applyFont="1" applyBorder="1" applyAlignment="1">
      <alignment vertical="center" wrapText="1"/>
    </xf>
    <xf numFmtId="49" fontId="34" fillId="0" borderId="1" xfId="0" applyNumberFormat="1" applyFont="1" applyBorder="1" applyAlignment="1">
      <alignment horizontal="left" vertical="center" wrapText="1"/>
    </xf>
    <xf numFmtId="49" fontId="34" fillId="24" borderId="1" xfId="0" applyNumberFormat="1" applyFont="1" applyFill="1" applyBorder="1" applyAlignment="1">
      <alignment horizontal="left" vertical="center" wrapText="1"/>
    </xf>
    <xf numFmtId="164" fontId="17" fillId="24" borderId="1" xfId="0" applyFont="1" applyFill="1" applyBorder="1" applyAlignment="1">
      <alignment horizontal="left" vertical="center" wrapText="1"/>
    </xf>
    <xf numFmtId="164" fontId="17" fillId="0" borderId="1" xfId="0" applyFont="1" applyBorder="1" applyAlignment="1">
      <alignment horizontal="left" vertical="center" wrapText="1"/>
    </xf>
    <xf numFmtId="49" fontId="16" fillId="0" borderId="1" xfId="0" applyNumberFormat="1" applyFont="1" applyBorder="1" applyAlignment="1">
      <alignment horizontal="left" vertical="top" wrapText="1"/>
    </xf>
    <xf numFmtId="164" fontId="24" fillId="5" borderId="1" xfId="0" applyFont="1" applyFill="1" applyBorder="1"/>
    <xf numFmtId="164" fontId="6" fillId="0" borderId="1" xfId="0" applyFont="1" applyBorder="1" applyAlignment="1">
      <alignment horizontal="left" vertical="center" wrapText="1"/>
    </xf>
    <xf numFmtId="164" fontId="25" fillId="0" borderId="1" xfId="0" applyFont="1" applyBorder="1" applyAlignment="1">
      <alignment horizontal="center"/>
    </xf>
    <xf numFmtId="164" fontId="6" fillId="24" borderId="1" xfId="0" applyFont="1" applyFill="1" applyBorder="1" applyAlignment="1">
      <alignment horizontal="left" vertical="center" wrapText="1"/>
    </xf>
    <xf numFmtId="164" fontId="6" fillId="24" borderId="1" xfId="0" applyFont="1" applyFill="1" applyBorder="1" applyAlignment="1">
      <alignment vertical="center"/>
    </xf>
    <xf numFmtId="49" fontId="70" fillId="0" borderId="1" xfId="0" applyNumberFormat="1" applyFont="1" applyBorder="1" applyAlignment="1">
      <alignment horizontal="left" vertical="top" wrapText="1"/>
    </xf>
    <xf numFmtId="164" fontId="16" fillId="0" borderId="1" xfId="0" applyFont="1" applyBorder="1" applyAlignment="1">
      <alignment horizontal="left" vertical="center" wrapText="1"/>
    </xf>
    <xf numFmtId="164" fontId="6" fillId="0" borderId="1" xfId="4" applyFont="1" applyBorder="1" applyAlignment="1">
      <alignment vertical="center" wrapText="1"/>
    </xf>
    <xf numFmtId="49" fontId="17" fillId="0" borderId="1" xfId="0" applyNumberFormat="1" applyFont="1" applyBorder="1" applyAlignment="1">
      <alignment horizontal="left" vertical="top" wrapText="1"/>
    </xf>
    <xf numFmtId="164" fontId="6" fillId="0" borderId="1" xfId="0" applyFont="1" applyBorder="1" applyAlignment="1">
      <alignment horizontal="left"/>
    </xf>
    <xf numFmtId="164" fontId="6" fillId="0" borderId="1" xfId="0" applyFont="1" applyBorder="1" applyAlignment="1">
      <alignment horizontal="center"/>
    </xf>
    <xf numFmtId="49" fontId="6" fillId="5" borderId="1" xfId="0" applyNumberFormat="1" applyFont="1" applyFill="1" applyBorder="1" applyAlignment="1">
      <alignment vertical="center" wrapText="1"/>
    </xf>
    <xf numFmtId="164" fontId="18" fillId="0" borderId="0" xfId="0" applyFont="1"/>
    <xf numFmtId="0" fontId="59" fillId="0" borderId="2" xfId="0" applyNumberFormat="1" applyFont="1" applyBorder="1" applyAlignment="1">
      <alignment horizontal="left" vertical="center" wrapText="1"/>
    </xf>
    <xf numFmtId="0" fontId="59" fillId="0" borderId="16" xfId="0" applyNumberFormat="1" applyFont="1" applyBorder="1" applyAlignment="1">
      <alignment horizontal="left" vertical="center" wrapText="1"/>
    </xf>
    <xf numFmtId="0" fontId="59" fillId="0" borderId="14" xfId="0" applyNumberFormat="1" applyFont="1" applyBorder="1" applyAlignment="1">
      <alignment horizontal="left" vertical="center" wrapText="1"/>
    </xf>
    <xf numFmtId="0" fontId="59" fillId="0" borderId="2" xfId="0" applyNumberFormat="1" applyFont="1" applyBorder="1" applyAlignment="1">
      <alignment horizontal="center" vertical="center"/>
    </xf>
    <xf numFmtId="0" fontId="59" fillId="0" borderId="16" xfId="0" applyNumberFormat="1" applyFont="1" applyBorder="1" applyAlignment="1">
      <alignment horizontal="center" vertical="center"/>
    </xf>
    <xf numFmtId="0" fontId="59" fillId="0" borderId="14" xfId="0" applyNumberFormat="1" applyFont="1" applyBorder="1" applyAlignment="1">
      <alignment horizontal="center" vertical="center"/>
    </xf>
    <xf numFmtId="0" fontId="59" fillId="0" borderId="2" xfId="0" applyNumberFormat="1" applyFont="1" applyBorder="1" applyAlignment="1">
      <alignment horizontal="center" vertical="center" wrapText="1"/>
    </xf>
    <xf numFmtId="0" fontId="60" fillId="0" borderId="17" xfId="0" applyNumberFormat="1" applyFont="1" applyBorder="1" applyAlignment="1">
      <alignment horizontal="center" vertical="center"/>
    </xf>
    <xf numFmtId="0" fontId="60" fillId="0" borderId="16" xfId="0" applyNumberFormat="1" applyFont="1" applyBorder="1" applyAlignment="1">
      <alignment horizontal="center" vertical="center"/>
    </xf>
    <xf numFmtId="0" fontId="60" fillId="0" borderId="14" xfId="0" applyNumberFormat="1" applyFont="1" applyBorder="1" applyAlignment="1">
      <alignment horizontal="center" vertical="center"/>
    </xf>
    <xf numFmtId="0" fontId="60" fillId="0" borderId="17" xfId="1" applyNumberFormat="1" applyFont="1" applyBorder="1" applyAlignment="1">
      <alignment horizontal="center" vertical="center" wrapText="1"/>
    </xf>
    <xf numFmtId="0" fontId="60" fillId="0" borderId="16" xfId="1" applyNumberFormat="1" applyFont="1" applyBorder="1" applyAlignment="1">
      <alignment horizontal="center" vertical="center" wrapText="1"/>
    </xf>
    <xf numFmtId="0" fontId="60" fillId="0" borderId="14" xfId="1" applyNumberFormat="1" applyFont="1" applyBorder="1" applyAlignment="1">
      <alignment horizontal="center" vertical="center" wrapText="1"/>
    </xf>
    <xf numFmtId="0" fontId="60" fillId="0" borderId="5" xfId="0" applyNumberFormat="1" applyFont="1" applyBorder="1" applyAlignment="1">
      <alignment horizontal="center" vertical="center"/>
    </xf>
    <xf numFmtId="0" fontId="60" fillId="0" borderId="5" xfId="0" applyNumberFormat="1" applyFont="1" applyBorder="1" applyAlignment="1">
      <alignment horizontal="center" vertical="center" wrapText="1"/>
    </xf>
    <xf numFmtId="0" fontId="12" fillId="0" borderId="1" xfId="0" applyNumberFormat="1" applyFont="1" applyBorder="1" applyAlignment="1">
      <alignment horizontal="center" vertical="center"/>
    </xf>
    <xf numFmtId="0" fontId="21" fillId="17" borderId="4" xfId="0" applyNumberFormat="1" applyFont="1" applyFill="1" applyBorder="1" applyAlignment="1">
      <alignment horizontal="center" vertical="center"/>
    </xf>
    <xf numFmtId="0" fontId="21" fillId="17" borderId="3" xfId="0" applyNumberFormat="1" applyFont="1" applyFill="1" applyBorder="1" applyAlignment="1">
      <alignment horizontal="center" vertical="center"/>
    </xf>
    <xf numFmtId="0" fontId="12" fillId="0" borderId="4" xfId="0" applyNumberFormat="1" applyFont="1" applyBorder="1" applyAlignment="1">
      <alignment horizontal="center" vertical="center"/>
    </xf>
    <xf numFmtId="0" fontId="12" fillId="0" borderId="3" xfId="0" applyNumberFormat="1" applyFont="1" applyBorder="1" applyAlignment="1">
      <alignment horizontal="center" vertical="center"/>
    </xf>
    <xf numFmtId="164" fontId="1" fillId="0" borderId="0" xfId="0" applyFont="1"/>
  </cellXfs>
  <cellStyles count="5">
    <cellStyle name="常规" xfId="0" builtinId="0"/>
    <cellStyle name="常规 2" xfId="1" xr:uid="{00000000-0005-0000-0000-000001000000}"/>
    <cellStyle name="常规 3" xfId="4" xr:uid="{4D6C1E03-E016-4272-80FC-F8688039C05C}"/>
    <cellStyle name="常规 39" xfId="2" xr:uid="{00000000-0005-0000-0000-000002000000}"/>
    <cellStyle name="常规 39 2" xfId="3" xr:uid="{00000000-0005-0000-0000-000003000000}"/>
  </cellStyles>
  <dxfs count="65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9999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6</xdr:col>
      <xdr:colOff>371475</xdr:colOff>
      <xdr:row>25</xdr:row>
      <xdr:rowOff>123825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33C690D-3898-B642-E1A6-52498970B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895475"/>
          <a:ext cx="9163050" cy="32289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Yimin YM3 Cai | 蔡依敏" id="{AF942D04-FCB5-4D5D-B075-AC19BBBCD473}" userId="S::caiym3@lenovo.com::20898146-ecdf-4751-8264-5394bc94a678" providerId="AD"/>
</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7" dT="2025-05-07T02:11:23.68" personId="{AF942D04-FCB5-4D5D-B075-AC19BBBCD473}" id="{12B5A898-C89D-48DE-A4BF-C4E2CE44D982}">
    <text>https://jira1.labs.lenovo.com/browse/CFCSOL-21283</text>
  </threadedComment>
  <threadedComment ref="E8" dT="2025-05-12T03:25:58.32" personId="{AF942D04-FCB5-4D5D-B075-AC19BBBCD473}" id="{71F648A6-9EDE-43EB-966E-5C1B7EC3F617}">
    <text xml:space="preserve">  OSE-6189</text>
    <extLst>
      <x:ext xmlns:xltc2="http://schemas.microsoft.com/office/spreadsheetml/2020/threadedcomments2" uri="{F7C98A9C-CBB3-438F-8F68-D28B6AF4A901}">
        <xltc2:checksum>857495745</xltc2:checksum>
        <xltc2:hyperlink startIndex="2" length="8" url="https://jira1.labs.lenovo.com/browse/OSE-6189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F4024-6C4D-4B72-AE16-D439E376F741}">
  <dimension ref="B2:E9"/>
  <sheetViews>
    <sheetView showGridLines="0" topLeftCell="D9" workbookViewId="0">
      <selection activeCell="J23" sqref="J23"/>
    </sheetView>
  </sheetViews>
  <sheetFormatPr defaultRowHeight="14.1"/>
  <cols>
    <col min="3" max="3" width="12.75" bestFit="1" customWidth="1"/>
    <col min="4" max="4" width="75.625" customWidth="1"/>
  </cols>
  <sheetData>
    <row r="2" spans="2:5" ht="22.5" customHeight="1">
      <c r="B2" s="85" t="s">
        <v>0</v>
      </c>
      <c r="C2" s="85" t="s">
        <v>1</v>
      </c>
      <c r="D2" s="85" t="s">
        <v>2</v>
      </c>
      <c r="E2" s="85" t="s">
        <v>3</v>
      </c>
    </row>
    <row r="3" spans="2:5" ht="22.5" customHeight="1">
      <c r="B3" s="172">
        <v>1</v>
      </c>
      <c r="C3" s="86" t="s">
        <v>4</v>
      </c>
      <c r="D3" s="87" t="s">
        <v>5</v>
      </c>
      <c r="E3" s="88" t="s">
        <v>6</v>
      </c>
    </row>
    <row r="4" spans="2:5" ht="22.5" customHeight="1">
      <c r="B4" s="172">
        <v>2</v>
      </c>
      <c r="C4" s="86" t="s">
        <v>7</v>
      </c>
      <c r="D4" s="87" t="s">
        <v>8</v>
      </c>
      <c r="E4" s="88" t="s">
        <v>6</v>
      </c>
    </row>
    <row r="5" spans="2:5" ht="22.5" customHeight="1">
      <c r="B5" s="172">
        <v>3</v>
      </c>
      <c r="C5" s="86" t="s">
        <v>9</v>
      </c>
      <c r="D5" s="87" t="s">
        <v>10</v>
      </c>
      <c r="E5" s="88" t="s">
        <v>6</v>
      </c>
    </row>
    <row r="6" spans="2:5" ht="14.25"/>
    <row r="7" spans="2:5" ht="14.25"/>
    <row r="8" spans="2:5" ht="14.25"/>
    <row r="9" spans="2:5" ht="14.25"/>
  </sheetData>
  <phoneticPr fontId="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A098E-AEF5-42FF-9659-77045380EAF9}">
  <dimension ref="A2:I65"/>
  <sheetViews>
    <sheetView showGridLines="0" topLeftCell="A6" workbookViewId="0">
      <selection activeCell="F28" sqref="B28:F28"/>
    </sheetView>
  </sheetViews>
  <sheetFormatPr defaultColWidth="8.875" defaultRowHeight="14.45"/>
  <cols>
    <col min="1" max="1" width="8.875" style="17"/>
    <col min="2" max="2" width="25.5" style="17" bestFit="1" customWidth="1"/>
    <col min="3" max="3" width="7.75" style="17" bestFit="1" customWidth="1"/>
    <col min="4" max="4" width="7.875" style="17" bestFit="1" customWidth="1"/>
    <col min="5" max="5" width="7.625" style="17" bestFit="1" customWidth="1"/>
    <col min="6" max="6" width="10.625" style="17" bestFit="1" customWidth="1"/>
    <col min="7" max="7" width="15.5" style="17" bestFit="1" customWidth="1"/>
    <col min="8" max="8" width="8.875" style="17"/>
    <col min="9" max="9" width="10.125" style="24" bestFit="1" customWidth="1"/>
    <col min="10" max="16384" width="8.875" style="17"/>
  </cols>
  <sheetData>
    <row r="2" spans="1:7" ht="19.149999999999999" customHeight="1">
      <c r="B2" s="18" t="s">
        <v>11</v>
      </c>
      <c r="C2" s="19" t="s">
        <v>12</v>
      </c>
      <c r="D2" s="20" t="s">
        <v>13</v>
      </c>
      <c r="E2" s="21" t="s">
        <v>14</v>
      </c>
      <c r="F2" s="22" t="s">
        <v>15</v>
      </c>
      <c r="G2" s="23" t="s">
        <v>16</v>
      </c>
    </row>
    <row r="3" spans="1:7">
      <c r="B3" s="1" t="s">
        <v>17</v>
      </c>
      <c r="C3" s="25">
        <f ca="1">IF(D3="--","--",SUM(D3:F3))</f>
        <v>1</v>
      </c>
      <c r="D3" s="25">
        <f ca="1">IFERROR(COUNTIF(INDIRECT("测试用例!"&amp;SUBSTITUTE(ADDRESS(1,MATCH(B3,INDIRECT("测试用例!$1:$1"),0)+1),"$1","")&amp;":"&amp;SUBSTITUTE(ADDRESS(1,MATCH(B3,INDIRECT("测试用例!$1:$1"),0)+1),"$1","")),"PASS"),"--")</f>
        <v>1</v>
      </c>
      <c r="E3" s="25">
        <f ca="1">IFERROR(COUNTIF(INDIRECT("测试用例!"&amp;SUBSTITUTE(ADDRESS(1,MATCH(B3,INDIRECT("测试用例!$1:$1"),0)+1),"$1","")&amp;":"&amp;SUBSTITUTE(ADDRESS(1,MATCH(B3,INDIRECT("测试用例!$1:$1"),0)+1),"$1","")),"FAIL"),"--")</f>
        <v>0</v>
      </c>
      <c r="F3" s="25">
        <f ca="1">IFERROR(COUNTIF(INDIRECT("测试用例!"&amp;SUBSTITUTE(ADDRESS(1,MATCH(B3,INDIRECT("测试用例!$1:$1"),0)+1),"$1","")&amp;":"&amp;SUBSTITUTE(ADDRESS(1,MATCH(B3,INDIRECT("测试用例!$1:$1"),0)+1),"$1","")),"Y"),"--")</f>
        <v>0</v>
      </c>
      <c r="G3" s="29">
        <f ca="1">IFERROR((D3+E3)/C3,0)</f>
        <v>1</v>
      </c>
    </row>
    <row r="4" spans="1:7">
      <c r="B4" s="1" t="s">
        <v>18</v>
      </c>
      <c r="C4" s="25">
        <f t="shared" ref="C4:C9" ca="1" si="0">IF(D4="--","--",SUM(D4:F4))</f>
        <v>32</v>
      </c>
      <c r="D4" s="25">
        <f t="shared" ref="D4:D10" ca="1" si="1">IFERROR(COUNTIF(INDIRECT("测试用例!"&amp;SUBSTITUTE(ADDRESS(1,MATCH(B4,INDIRECT("测试用例!$1:$1"),0)+1),"$1","")&amp;":"&amp;SUBSTITUTE(ADDRESS(1,MATCH(B4,INDIRECT("测试用例!$1:$1"),0)+1),"$1","")),"PASS"),"--")</f>
        <v>32</v>
      </c>
      <c r="E4" s="25">
        <f t="shared" ref="E4:E10" ca="1" si="2">IFERROR(COUNTIF(INDIRECT("测试用例!"&amp;SUBSTITUTE(ADDRESS(1,MATCH(B4,INDIRECT("测试用例!$1:$1"),0)+1),"$1","")&amp;":"&amp;SUBSTITUTE(ADDRESS(1,MATCH(B4,INDIRECT("测试用例!$1:$1"),0)+1),"$1","")),"FAIL"),"--")</f>
        <v>0</v>
      </c>
      <c r="F4" s="25">
        <f t="shared" ref="F4:F10" ca="1" si="3">IFERROR(COUNTIF(INDIRECT("测试用例!"&amp;SUBSTITUTE(ADDRESS(1,MATCH(B4,INDIRECT("测试用例!$1:$1"),0)+1),"$1","")&amp;":"&amp;SUBSTITUTE(ADDRESS(1,MATCH(B4,INDIRECT("测试用例!$1:$1"),0)+1),"$1","")),"Y"),"--")</f>
        <v>0</v>
      </c>
      <c r="G4" s="29">
        <f t="shared" ref="G4:G16" ca="1" si="4">IFERROR((D4+E4)/C4,0)</f>
        <v>1</v>
      </c>
    </row>
    <row r="5" spans="1:7">
      <c r="A5" s="26" t="s">
        <v>19</v>
      </c>
      <c r="B5" s="16" t="s">
        <v>20</v>
      </c>
      <c r="C5" s="25">
        <f t="shared" ca="1" si="0"/>
        <v>13</v>
      </c>
      <c r="D5" s="25">
        <f t="shared" ca="1" si="1"/>
        <v>13</v>
      </c>
      <c r="E5" s="25">
        <f t="shared" ca="1" si="2"/>
        <v>0</v>
      </c>
      <c r="F5" s="25">
        <f t="shared" ca="1" si="3"/>
        <v>0</v>
      </c>
      <c r="G5" s="29">
        <f t="shared" ca="1" si="4"/>
        <v>1</v>
      </c>
    </row>
    <row r="6" spans="1:7">
      <c r="B6" s="1" t="s">
        <v>21</v>
      </c>
      <c r="C6" s="25">
        <f ca="1">IF(D6="--","--",SUM(D6:F6))</f>
        <v>48</v>
      </c>
      <c r="D6" s="25">
        <f t="shared" ca="1" si="1"/>
        <v>47</v>
      </c>
      <c r="E6" s="25">
        <f t="shared" ca="1" si="2"/>
        <v>1</v>
      </c>
      <c r="F6" s="25">
        <f t="shared" ca="1" si="3"/>
        <v>0</v>
      </c>
      <c r="G6" s="29">
        <f t="shared" ca="1" si="4"/>
        <v>1</v>
      </c>
    </row>
    <row r="7" spans="1:7">
      <c r="A7" s="26" t="s">
        <v>19</v>
      </c>
      <c r="B7" s="16" t="s">
        <v>22</v>
      </c>
      <c r="C7" s="25">
        <f t="shared" ca="1" si="0"/>
        <v>31</v>
      </c>
      <c r="D7" s="25">
        <f t="shared" ca="1" si="1"/>
        <v>29</v>
      </c>
      <c r="E7" s="25">
        <f t="shared" ca="1" si="2"/>
        <v>2</v>
      </c>
      <c r="F7" s="25">
        <f t="shared" ca="1" si="3"/>
        <v>0</v>
      </c>
      <c r="G7" s="29">
        <f t="shared" ca="1" si="4"/>
        <v>1</v>
      </c>
    </row>
    <row r="8" spans="1:7">
      <c r="A8" s="26" t="s">
        <v>19</v>
      </c>
      <c r="B8" s="16" t="s">
        <v>23</v>
      </c>
      <c r="C8" s="25">
        <f t="shared" ca="1" si="0"/>
        <v>17</v>
      </c>
      <c r="D8" s="25">
        <f t="shared" ca="1" si="1"/>
        <v>16</v>
      </c>
      <c r="E8" s="25">
        <f t="shared" ca="1" si="2"/>
        <v>1</v>
      </c>
      <c r="F8" s="25">
        <f t="shared" ca="1" si="3"/>
        <v>0</v>
      </c>
      <c r="G8" s="29">
        <f t="shared" ca="1" si="4"/>
        <v>1</v>
      </c>
    </row>
    <row r="9" spans="1:7">
      <c r="B9" s="1" t="s">
        <v>24</v>
      </c>
      <c r="C9" s="25">
        <f t="shared" ca="1" si="0"/>
        <v>18</v>
      </c>
      <c r="D9" s="25">
        <f t="shared" ca="1" si="1"/>
        <v>18</v>
      </c>
      <c r="E9" s="25">
        <f t="shared" ca="1" si="2"/>
        <v>0</v>
      </c>
      <c r="F9" s="25">
        <f t="shared" ca="1" si="3"/>
        <v>0</v>
      </c>
      <c r="G9" s="29">
        <f t="shared" ca="1" si="4"/>
        <v>1</v>
      </c>
    </row>
    <row r="10" spans="1:7">
      <c r="A10" s="26" t="s">
        <v>19</v>
      </c>
      <c r="B10" s="16" t="s">
        <v>25</v>
      </c>
      <c r="C10" s="25">
        <f ca="1">IF(D10="--","--",SUM(D10:F10))</f>
        <v>46</v>
      </c>
      <c r="D10" s="25">
        <f ca="1">IFERROR(COUNTIF(INDIRECT("测试用例!"&amp;SUBSTITUTE(ADDRESS(1,MATCH(B10,INDIRECT("测试用例!$1:$1"),0)+1),"$1","")&amp;":"&amp;SUBSTITUTE(ADDRESS(1,MATCH(B10,INDIRECT("测试用例!$1:$1"),0)+1),"$1","")),"PASS"),"--")</f>
        <v>45</v>
      </c>
      <c r="E10" s="25">
        <f ca="1">IFERROR(COUNTIF(INDIRECT("测试用例!"&amp;SUBSTITUTE(ADDRESS(1,MATCH(B10,INDIRECT("测试用例!$1:$1"),0)+1),"$1","")&amp;":"&amp;SUBSTITUTE(ADDRESS(1,MATCH(B10,INDIRECT("测试用例!$1:$1"),0)+1),"$1","")),"FAIL"),"--")</f>
        <v>1</v>
      </c>
      <c r="F10" s="25">
        <f ca="1">IFERROR(COUNTIF(INDIRECT("测试用例!"&amp;SUBSTITUTE(ADDRESS(1,MATCH(B10,INDIRECT("测试用例!$1:$1"),0)+1),"$1","")&amp;":"&amp;SUBSTITUTE(ADDRESS(1,MATCH(B10,INDIRECT("测试用例!$1:$1"),0)+1),"$1","")),"Y"),"--")</f>
        <v>0</v>
      </c>
      <c r="G10" s="29">
        <f ca="1">IFERROR((D10+E10)/C10,0)</f>
        <v>1</v>
      </c>
    </row>
    <row r="11" spans="1:7" ht="15">
      <c r="A11" s="26"/>
      <c r="B11" s="16" t="s">
        <v>26</v>
      </c>
      <c r="C11" s="25">
        <f ca="1">IF(D11="--","--",SUM(D11:F11))</f>
        <v>47</v>
      </c>
      <c r="D11" s="25">
        <f ca="1">IFERROR(COUNTIF(INDIRECT("测试用例!"&amp;SUBSTITUTE(ADDRESS(1,MATCH(B11,INDIRECT("测试用例!$1:$1"),0)+1),"$1","")&amp;":"&amp;SUBSTITUTE(ADDRESS(1,MATCH(B11,INDIRECT("测试用例!$1:$1"),0)+1),"$1","")),"PASS"),"--")</f>
        <v>43</v>
      </c>
      <c r="E11" s="25">
        <f ca="1">IFERROR(COUNTIF(INDIRECT("测试用例!"&amp;SUBSTITUTE(ADDRESS(1,MATCH(B11,INDIRECT("测试用例!$1:$1"),0)+1),"$1","")&amp;":"&amp;SUBSTITUTE(ADDRESS(1,MATCH(B11,INDIRECT("测试用例!$1:$1"),0)+1),"$1","")),"FAIL"),"--")</f>
        <v>4</v>
      </c>
      <c r="F11" s="25">
        <f ca="1">IFERROR(COUNTIF(INDIRECT("测试用例!"&amp;SUBSTITUTE(ADDRESS(1,MATCH(B11,INDIRECT("测试用例!$1:$1"),0)+1),"$1","")&amp;":"&amp;SUBSTITUTE(ADDRESS(1,MATCH(B11,INDIRECT("测试用例!$1:$1"),0)+1),"$1","")),"Y"),"--")</f>
        <v>0</v>
      </c>
      <c r="G11" s="29">
        <f ca="1">IFERROR((D11+E11)/C10,0)</f>
        <v>1.0217391304347827</v>
      </c>
    </row>
    <row r="12" spans="1:7" ht="15">
      <c r="B12" s="16" t="s">
        <v>27</v>
      </c>
      <c r="C12" s="96">
        <f ca="1">IF(D12="--","--",SUM(D12:F12))</f>
        <v>30</v>
      </c>
      <c r="D12" s="25">
        <f t="shared" ref="D12:D15" ca="1" si="5">IFERROR(COUNTIF(INDIRECT("测试用例!"&amp;SUBSTITUTE(ADDRESS(1,MATCH(B12,INDIRECT("测试用例!$1:$1"),0)+1),"$1","")&amp;":"&amp;SUBSTITUTE(ADDRESS(1,MATCH(B12,INDIRECT("测试用例!$1:$1"),0)+1),"$1","")),"PASS"),"--")</f>
        <v>27</v>
      </c>
      <c r="E12" s="25">
        <f t="shared" ref="E12:E15" ca="1" si="6">IFERROR(COUNTIF(INDIRECT("测试用例!"&amp;SUBSTITUTE(ADDRESS(1,MATCH(B12,INDIRECT("测试用例!$1:$1"),0)+1),"$1","")&amp;":"&amp;SUBSTITUTE(ADDRESS(1,MATCH(B12,INDIRECT("测试用例!$1:$1"),0)+1),"$1","")),"FAIL"),"--")</f>
        <v>3</v>
      </c>
      <c r="F12" s="25">
        <f t="shared" ref="F12:F15" ca="1" si="7">IFERROR(COUNTIF(INDIRECT("测试用例!"&amp;SUBSTITUTE(ADDRESS(1,MATCH(B12,INDIRECT("测试用例!$1:$1"),0)+1),"$1","")&amp;":"&amp;SUBSTITUTE(ADDRESS(1,MATCH(B12,INDIRECT("测试用例!$1:$1"),0)+1),"$1","")),"Y"),"--")</f>
        <v>0</v>
      </c>
      <c r="G12" s="97">
        <f t="shared" ca="1" si="4"/>
        <v>1</v>
      </c>
    </row>
    <row r="13" spans="1:7" ht="15">
      <c r="B13" s="16" t="s">
        <v>28</v>
      </c>
      <c r="C13" s="96">
        <f t="shared" ref="C13:C15" ca="1" si="8">IF(D13="--","--",SUM(D13:F13))</f>
        <v>7</v>
      </c>
      <c r="D13" s="25">
        <f t="shared" ca="1" si="5"/>
        <v>7</v>
      </c>
      <c r="E13" s="25">
        <f t="shared" ca="1" si="6"/>
        <v>0</v>
      </c>
      <c r="F13" s="25">
        <f t="shared" ca="1" si="7"/>
        <v>0</v>
      </c>
      <c r="G13" s="97">
        <f t="shared" ca="1" si="4"/>
        <v>1</v>
      </c>
    </row>
    <row r="14" spans="1:7" ht="15">
      <c r="A14" s="26" t="s">
        <v>19</v>
      </c>
      <c r="B14" s="94" t="s">
        <v>29</v>
      </c>
      <c r="C14" s="96">
        <f t="shared" ca="1" si="8"/>
        <v>1</v>
      </c>
      <c r="D14" s="25">
        <f t="shared" ca="1" si="5"/>
        <v>1</v>
      </c>
      <c r="E14" s="25">
        <f t="shared" ca="1" si="6"/>
        <v>0</v>
      </c>
      <c r="F14" s="25">
        <f t="shared" ca="1" si="7"/>
        <v>0</v>
      </c>
      <c r="G14" s="97">
        <f t="shared" ca="1" si="4"/>
        <v>1</v>
      </c>
    </row>
    <row r="15" spans="1:7" ht="15">
      <c r="B15" s="94" t="s">
        <v>30</v>
      </c>
      <c r="C15" s="115">
        <f t="shared" ca="1" si="8"/>
        <v>47</v>
      </c>
      <c r="D15" s="116">
        <f t="shared" ca="1" si="5"/>
        <v>46</v>
      </c>
      <c r="E15" s="116">
        <f t="shared" ca="1" si="6"/>
        <v>1</v>
      </c>
      <c r="F15" s="116">
        <f t="shared" ca="1" si="7"/>
        <v>0</v>
      </c>
      <c r="G15" s="98">
        <f t="shared" ca="1" si="4"/>
        <v>1</v>
      </c>
    </row>
    <row r="16" spans="1:7" ht="16.5">
      <c r="B16" s="113" t="s">
        <v>31</v>
      </c>
      <c r="C16" s="113">
        <f ca="1">SUM(C3:C15)</f>
        <v>338</v>
      </c>
      <c r="D16" s="113">
        <f ca="1">SUM(D3:D15)</f>
        <v>325</v>
      </c>
      <c r="E16" s="113">
        <f ca="1">SUM(E3:E15)</f>
        <v>13</v>
      </c>
      <c r="F16" s="113">
        <f ca="1">SUM(F3:F15)</f>
        <v>0</v>
      </c>
      <c r="G16" s="114">
        <f t="shared" ca="1" si="4"/>
        <v>1</v>
      </c>
    </row>
    <row r="17" spans="1:7" ht="15">
      <c r="B17" s="100"/>
      <c r="C17" s="100"/>
    </row>
    <row r="18" spans="1:7" ht="15">
      <c r="B18" s="100"/>
      <c r="C18" s="100"/>
    </row>
    <row r="19" spans="1:7" ht="15">
      <c r="A19" s="26" t="s">
        <v>19</v>
      </c>
      <c r="B19" s="18" t="s">
        <v>32</v>
      </c>
      <c r="C19" s="19" t="s">
        <v>12</v>
      </c>
      <c r="D19" s="20" t="s">
        <v>13</v>
      </c>
      <c r="E19" s="21" t="s">
        <v>14</v>
      </c>
      <c r="F19" s="22" t="s">
        <v>15</v>
      </c>
      <c r="G19" s="30" t="s">
        <v>16</v>
      </c>
    </row>
    <row r="20" spans="1:7" ht="15">
      <c r="B20" s="1" t="s">
        <v>17</v>
      </c>
      <c r="C20" s="25">
        <f ca="1">IF(D20="--","--",SUM(D20:F20))</f>
        <v>1</v>
      </c>
      <c r="D20" s="25">
        <f ca="1">IFERROR(COUNTIF(INDIRECT("测试用例!"&amp;SUBSTITUTE(ADDRESS(1,MATCH(B20,INDIRECT("测试用例!$1:$1"),0)+2),"$1","")&amp;":"&amp;SUBSTITUTE(ADDRESS(1,MATCH(B20,INDIRECT("测试用例!$1:$1"),0)+2),"$1","")),"PASS"),"--")</f>
        <v>1</v>
      </c>
      <c r="E20" s="25">
        <f ca="1">IFERROR(COUNTIF(INDIRECT("测试用例!"&amp;SUBSTITUTE(ADDRESS(1,MATCH(B20,INDIRECT("测试用例!$1:$1"),0)+2),"$1","")&amp;":"&amp;SUBSTITUTE(ADDRESS(1,MATCH(B20,INDIRECT("测试用例!$1:$1"),0)+2),"$1","")),"FAIL"),"--")</f>
        <v>0</v>
      </c>
      <c r="F20" s="25">
        <f ca="1">IFERROR(COUNTIF(INDIRECT("测试用例!"&amp;SUBSTITUTE(ADDRESS(1,MATCH(B20,INDIRECT("测试用例!$1:$1"),0)+2),"$1","")&amp;":"&amp;SUBSTITUTE(ADDRESS(1,MATCH(B20,INDIRECT("测试用例!$1:$1"),0)+2),"$1","")),"Y"),"--")</f>
        <v>0</v>
      </c>
      <c r="G20" s="31">
        <f ca="1">IFERROR((D20+E20)/C20,0)</f>
        <v>1</v>
      </c>
    </row>
    <row r="21" spans="1:7" ht="15">
      <c r="B21" s="1" t="s">
        <v>18</v>
      </c>
      <c r="C21" s="25">
        <f t="shared" ref="C21:C34" ca="1" si="9">IF(D21="--","--",SUM(D21:F21))</f>
        <v>33</v>
      </c>
      <c r="D21" s="25">
        <f t="shared" ref="D21:D32" ca="1" si="10">IFERROR(COUNTIF(INDIRECT("测试用例!"&amp;SUBSTITUTE(ADDRESS(1,MATCH(B21,INDIRECT("测试用例!$1:$1"),0)+2),"$1","")&amp;":"&amp;SUBSTITUTE(ADDRESS(1,MATCH(B21,INDIRECT("测试用例!$1:$1"),0)+2),"$1","")),"PASS"),"--")</f>
        <v>33</v>
      </c>
      <c r="E21" s="25">
        <f t="shared" ref="E21:E33" ca="1" si="11">IFERROR(COUNTIF(INDIRECT("测试用例!"&amp;SUBSTITUTE(ADDRESS(1,MATCH(B21,INDIRECT("测试用例!$1:$1"),0)+2),"$1","")&amp;":"&amp;SUBSTITUTE(ADDRESS(1,MATCH(B21,INDIRECT("测试用例!$1:$1"),0)+2),"$1","")),"FAIL"),"--")</f>
        <v>0</v>
      </c>
      <c r="F21" s="25">
        <f t="shared" ref="F21:F32" ca="1" si="12">IFERROR(COUNTIF(INDIRECT("测试用例!"&amp;SUBSTITUTE(ADDRESS(1,MATCH(B21,INDIRECT("测试用例!$1:$1"),0)+2),"$1","")&amp;":"&amp;SUBSTITUTE(ADDRESS(1,MATCH(B21,INDIRECT("测试用例!$1:$1"),0)+2),"$1","")),"Y"),"--")</f>
        <v>0</v>
      </c>
      <c r="G21" s="31">
        <f t="shared" ref="G21:G33" ca="1" si="13">IFERROR((D21+E21)/C21,0)</f>
        <v>1</v>
      </c>
    </row>
    <row r="22" spans="1:7" ht="15">
      <c r="B22" s="16" t="s">
        <v>20</v>
      </c>
      <c r="C22" s="25">
        <f t="shared" ca="1" si="9"/>
        <v>13</v>
      </c>
      <c r="D22" s="25">
        <f t="shared" ca="1" si="10"/>
        <v>13</v>
      </c>
      <c r="E22" s="25">
        <f t="shared" ca="1" si="11"/>
        <v>0</v>
      </c>
      <c r="F22" s="25">
        <f t="shared" ca="1" si="12"/>
        <v>0</v>
      </c>
      <c r="G22" s="31">
        <f t="shared" ca="1" si="13"/>
        <v>1</v>
      </c>
    </row>
    <row r="23" spans="1:7" ht="15">
      <c r="B23" s="16" t="s">
        <v>21</v>
      </c>
      <c r="C23" s="25">
        <f t="shared" ca="1" si="9"/>
        <v>47</v>
      </c>
      <c r="D23" s="25">
        <f t="shared" ca="1" si="10"/>
        <v>47</v>
      </c>
      <c r="E23" s="25">
        <f t="shared" ca="1" si="11"/>
        <v>0</v>
      </c>
      <c r="F23" s="25">
        <f t="shared" ca="1" si="12"/>
        <v>0</v>
      </c>
      <c r="G23" s="31">
        <f t="shared" ca="1" si="13"/>
        <v>1</v>
      </c>
    </row>
    <row r="24" spans="1:7" ht="15">
      <c r="B24" s="16" t="s">
        <v>22</v>
      </c>
      <c r="C24" s="25">
        <f t="shared" ca="1" si="9"/>
        <v>31</v>
      </c>
      <c r="D24" s="25">
        <f t="shared" ca="1" si="10"/>
        <v>31</v>
      </c>
      <c r="E24" s="25">
        <f t="shared" ca="1" si="11"/>
        <v>0</v>
      </c>
      <c r="F24" s="25">
        <f t="shared" ca="1" si="12"/>
        <v>0</v>
      </c>
      <c r="G24" s="31">
        <f t="shared" ca="1" si="13"/>
        <v>1</v>
      </c>
    </row>
    <row r="25" spans="1:7" ht="15">
      <c r="A25" s="26" t="s">
        <v>19</v>
      </c>
      <c r="B25" s="16" t="s">
        <v>23</v>
      </c>
      <c r="C25" s="25">
        <f t="shared" ca="1" si="9"/>
        <v>17</v>
      </c>
      <c r="D25" s="25">
        <f t="shared" ca="1" si="10"/>
        <v>17</v>
      </c>
      <c r="E25" s="25">
        <f t="shared" ca="1" si="11"/>
        <v>0</v>
      </c>
      <c r="F25" s="25">
        <f t="shared" ca="1" si="12"/>
        <v>0</v>
      </c>
      <c r="G25" s="31">
        <f t="shared" ca="1" si="13"/>
        <v>1</v>
      </c>
    </row>
    <row r="26" spans="1:7" ht="15">
      <c r="B26" s="1" t="s">
        <v>24</v>
      </c>
      <c r="C26" s="25">
        <f t="shared" ca="1" si="9"/>
        <v>20</v>
      </c>
      <c r="D26" s="25">
        <f t="shared" ca="1" si="10"/>
        <v>20</v>
      </c>
      <c r="E26" s="25">
        <f t="shared" ca="1" si="11"/>
        <v>0</v>
      </c>
      <c r="F26" s="25">
        <f t="shared" ca="1" si="12"/>
        <v>0</v>
      </c>
      <c r="G26" s="31">
        <f t="shared" ca="1" si="13"/>
        <v>1</v>
      </c>
    </row>
    <row r="27" spans="1:7" ht="15">
      <c r="A27" s="26" t="s">
        <v>19</v>
      </c>
      <c r="B27" s="16" t="s">
        <v>25</v>
      </c>
      <c r="C27" s="25">
        <f t="shared" ca="1" si="9"/>
        <v>46</v>
      </c>
      <c r="D27" s="25">
        <f t="shared" ca="1" si="10"/>
        <v>46</v>
      </c>
      <c r="E27" s="25">
        <f t="shared" ca="1" si="11"/>
        <v>0</v>
      </c>
      <c r="F27" s="25">
        <f t="shared" ca="1" si="12"/>
        <v>0</v>
      </c>
      <c r="G27" s="31">
        <f t="shared" ca="1" si="13"/>
        <v>1</v>
      </c>
    </row>
    <row r="28" spans="1:7" ht="15">
      <c r="B28" s="16" t="s">
        <v>26</v>
      </c>
      <c r="C28" s="25">
        <f t="shared" ca="1" si="9"/>
        <v>47</v>
      </c>
      <c r="D28" s="25">
        <f t="shared" ca="1" si="10"/>
        <v>44</v>
      </c>
      <c r="E28" s="25">
        <f t="shared" ca="1" si="11"/>
        <v>0</v>
      </c>
      <c r="F28" s="25">
        <f t="shared" ca="1" si="12"/>
        <v>3</v>
      </c>
      <c r="G28" s="31">
        <f t="shared" ca="1" si="13"/>
        <v>0.93617021276595747</v>
      </c>
    </row>
    <row r="29" spans="1:7" ht="15">
      <c r="B29" s="16" t="s">
        <v>27</v>
      </c>
      <c r="C29" s="25">
        <f t="shared" ca="1" si="9"/>
        <v>30</v>
      </c>
      <c r="D29" s="25">
        <f t="shared" ca="1" si="10"/>
        <v>29</v>
      </c>
      <c r="E29" s="25">
        <f t="shared" ca="1" si="11"/>
        <v>0</v>
      </c>
      <c r="F29" s="25">
        <f t="shared" ca="1" si="12"/>
        <v>1</v>
      </c>
      <c r="G29" s="31">
        <f t="shared" ca="1" si="13"/>
        <v>0.96666666666666667</v>
      </c>
    </row>
    <row r="30" spans="1:7" ht="15">
      <c r="A30" s="26" t="s">
        <v>19</v>
      </c>
      <c r="B30" s="16" t="s">
        <v>28</v>
      </c>
      <c r="C30" s="25">
        <f t="shared" ca="1" si="9"/>
        <v>7</v>
      </c>
      <c r="D30" s="25">
        <f t="shared" ca="1" si="10"/>
        <v>7</v>
      </c>
      <c r="E30" s="25">
        <f t="shared" ca="1" si="11"/>
        <v>0</v>
      </c>
      <c r="F30" s="25">
        <f t="shared" ca="1" si="12"/>
        <v>0</v>
      </c>
      <c r="G30" s="31">
        <f t="shared" ca="1" si="13"/>
        <v>1</v>
      </c>
    </row>
    <row r="31" spans="1:7" ht="15">
      <c r="B31" s="94" t="s">
        <v>29</v>
      </c>
      <c r="C31" s="25">
        <f t="shared" ca="1" si="9"/>
        <v>1</v>
      </c>
      <c r="D31" s="25">
        <f t="shared" ca="1" si="10"/>
        <v>1</v>
      </c>
      <c r="E31" s="25">
        <f t="shared" ca="1" si="11"/>
        <v>0</v>
      </c>
      <c r="F31" s="25">
        <f t="shared" ca="1" si="12"/>
        <v>0</v>
      </c>
      <c r="G31" s="31">
        <f t="shared" ca="1" si="13"/>
        <v>1</v>
      </c>
    </row>
    <row r="32" spans="1:7" ht="15">
      <c r="B32" s="94" t="s">
        <v>30</v>
      </c>
      <c r="C32" s="25">
        <f t="shared" ca="1" si="9"/>
        <v>47</v>
      </c>
      <c r="D32" s="25">
        <f t="shared" ca="1" si="10"/>
        <v>47</v>
      </c>
      <c r="E32" s="25">
        <f t="shared" ca="1" si="11"/>
        <v>0</v>
      </c>
      <c r="F32" s="25">
        <f t="shared" ca="1" si="12"/>
        <v>0</v>
      </c>
      <c r="G32" s="31">
        <f t="shared" ca="1" si="13"/>
        <v>1</v>
      </c>
    </row>
    <row r="33" spans="2:7" ht="16.5">
      <c r="B33" s="95" t="s">
        <v>31</v>
      </c>
      <c r="C33" s="117">
        <f t="shared" ca="1" si="9"/>
        <v>340</v>
      </c>
      <c r="D33" s="113">
        <f ca="1">SUM(D20:D32)</f>
        <v>336</v>
      </c>
      <c r="E33" s="113">
        <f ca="1">SUM(E20:E32)</f>
        <v>0</v>
      </c>
      <c r="F33" s="113">
        <f ca="1">SUM(F20:F32)</f>
        <v>4</v>
      </c>
      <c r="G33" s="118">
        <f t="shared" ca="1" si="13"/>
        <v>0.9882352941176471</v>
      </c>
    </row>
    <row r="34" spans="2:7" ht="15"/>
    <row r="35" spans="2:7" ht="15"/>
    <row r="36" spans="2:7" ht="16.5">
      <c r="B36" s="27" t="s">
        <v>33</v>
      </c>
      <c r="C36" s="28"/>
      <c r="D36" s="28"/>
      <c r="E36" s="28"/>
      <c r="F36" s="28"/>
      <c r="G36" s="28"/>
    </row>
    <row r="37" spans="2:7" ht="16.5">
      <c r="B37" s="27" t="s">
        <v>34</v>
      </c>
      <c r="C37" s="28"/>
      <c r="D37" s="28"/>
      <c r="E37" s="28"/>
      <c r="F37" s="28"/>
      <c r="G37" s="28"/>
    </row>
    <row r="38" spans="2:7" ht="16.5">
      <c r="B38" s="27" t="s">
        <v>35</v>
      </c>
      <c r="C38" s="28"/>
      <c r="D38" s="28"/>
      <c r="E38" s="28"/>
      <c r="F38" s="28"/>
      <c r="G38" s="28"/>
    </row>
    <row r="39" spans="2:7" ht="15">
      <c r="B39" s="28"/>
      <c r="C39" s="28"/>
      <c r="D39" s="28"/>
      <c r="E39" s="28"/>
      <c r="F39" s="28"/>
      <c r="G39" s="28"/>
    </row>
    <row r="40" spans="2:7" ht="15">
      <c r="C40" s="19" t="s">
        <v>12</v>
      </c>
      <c r="D40" s="20" t="s">
        <v>13</v>
      </c>
      <c r="E40" s="21" t="s">
        <v>14</v>
      </c>
      <c r="F40" s="22" t="s">
        <v>15</v>
      </c>
    </row>
    <row r="41" spans="2:7" ht="15">
      <c r="B41" s="119" t="s">
        <v>12</v>
      </c>
      <c r="C41" s="120">
        <f ca="1">C33+C16</f>
        <v>678</v>
      </c>
      <c r="D41" s="120">
        <f ca="1">D33+D16</f>
        <v>661</v>
      </c>
      <c r="E41" s="120">
        <f ca="1">E33+E16</f>
        <v>13</v>
      </c>
      <c r="F41" s="120">
        <f ca="1">F33+F16</f>
        <v>4</v>
      </c>
      <c r="G41" s="120"/>
    </row>
    <row r="42" spans="2:7" ht="15"/>
    <row r="43" spans="2:7" ht="15"/>
    <row r="44" spans="2:7" ht="15"/>
    <row r="45" spans="2:7" ht="15"/>
    <row r="46" spans="2:7" ht="15"/>
    <row r="47" spans="2:7" ht="15"/>
    <row r="48" spans="2:7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7E892-19CB-4FF7-AD62-CB2976D665BD}">
  <dimension ref="A1:CE68"/>
  <sheetViews>
    <sheetView tabSelected="1" zoomScale="70" zoomScaleNormal="70" workbookViewId="0">
      <selection activeCell="E4" sqref="E4"/>
    </sheetView>
  </sheetViews>
  <sheetFormatPr defaultColWidth="8.875" defaultRowHeight="39.6" customHeight="1"/>
  <cols>
    <col min="1" max="1" width="11.125" style="15" customWidth="1"/>
    <col min="2" max="2" width="11" style="15" customWidth="1"/>
    <col min="3" max="3" width="10.5" style="15" customWidth="1"/>
    <col min="4" max="4" width="17.625" style="15" customWidth="1"/>
    <col min="5" max="5" width="54.25" style="15" customWidth="1"/>
    <col min="6" max="6" width="8.875" style="15"/>
    <col min="7" max="7" width="12.5" style="15" customWidth="1"/>
    <col min="8" max="8" width="11.125" style="34" customWidth="1"/>
    <col min="9" max="9" width="39" style="170" customWidth="1"/>
    <col min="10" max="10" width="16.375" style="15" customWidth="1"/>
    <col min="11" max="13" width="8.875" style="15" customWidth="1"/>
    <col min="14" max="14" width="26.5" style="15" customWidth="1"/>
    <col min="15" max="17" width="8.875" style="15" customWidth="1"/>
    <col min="18" max="18" width="26.5" style="15" customWidth="1"/>
    <col min="19" max="21" width="8.875" style="15" customWidth="1"/>
    <col min="22" max="22" width="26.5" style="15" customWidth="1"/>
    <col min="23" max="25" width="8.875" style="15" customWidth="1"/>
    <col min="26" max="26" width="26.5" style="15" customWidth="1"/>
    <col min="27" max="29" width="8.875" style="15" customWidth="1"/>
    <col min="30" max="30" width="26.5" style="15" customWidth="1"/>
    <col min="31" max="33" width="8.875" style="15" customWidth="1"/>
    <col min="34" max="34" width="26.5" style="15" customWidth="1"/>
    <col min="35" max="37" width="8.875" style="15" customWidth="1"/>
    <col min="38" max="38" width="26.5" style="15" customWidth="1"/>
    <col min="39" max="41" width="8.875" style="15" customWidth="1"/>
    <col min="42" max="42" width="26.5" style="15" customWidth="1"/>
    <col min="43" max="46" width="8.875" style="15" customWidth="1"/>
    <col min="47" max="47" width="26.5" style="15" customWidth="1"/>
    <col min="48" max="50" width="8.875" style="15" customWidth="1"/>
    <col min="51" max="51" width="26.5" style="15" customWidth="1"/>
    <col min="52" max="54" width="8.875" style="15" customWidth="1"/>
    <col min="55" max="55" width="26.5" style="15" customWidth="1"/>
    <col min="56" max="58" width="8.875" style="15" customWidth="1"/>
    <col min="59" max="59" width="26.5" style="15" customWidth="1"/>
    <col min="60" max="62" width="8.875" style="15" customWidth="1"/>
    <col min="63" max="63" width="26.5" style="15" customWidth="1"/>
    <col min="64" max="66" width="8.875" style="15"/>
    <col min="67" max="67" width="26.5" style="15" customWidth="1"/>
    <col min="68" max="70" width="8.875" style="15"/>
    <col min="71" max="71" width="26.5" style="15" customWidth="1"/>
    <col min="72" max="74" width="8.875" style="15"/>
    <col min="75" max="75" width="26.5" style="15" hidden="1" customWidth="1"/>
    <col min="76" max="78" width="0" style="15" hidden="1" customWidth="1"/>
    <col min="79" max="79" width="26.5" style="15" hidden="1" customWidth="1"/>
    <col min="80" max="82" width="0" style="15" hidden="1" customWidth="1"/>
    <col min="83" max="83" width="26.5" style="15" hidden="1" customWidth="1"/>
    <col min="84" max="86" width="0" style="15" hidden="1" customWidth="1"/>
    <col min="87" max="87" width="26.5" style="15" customWidth="1"/>
    <col min="88" max="90" width="8.875" style="15"/>
    <col min="91" max="91" width="26.5" style="15" customWidth="1"/>
    <col min="92" max="16384" width="8.875" style="15"/>
  </cols>
  <sheetData>
    <row r="1" spans="1:65" ht="61.9" customHeight="1">
      <c r="A1" s="9" t="s">
        <v>36</v>
      </c>
      <c r="B1" s="9" t="s">
        <v>37</v>
      </c>
      <c r="C1" s="9" t="s">
        <v>38</v>
      </c>
      <c r="D1" s="9" t="s">
        <v>39</v>
      </c>
      <c r="E1" s="10" t="s">
        <v>40</v>
      </c>
      <c r="F1" s="9" t="s">
        <v>41</v>
      </c>
      <c r="G1" s="83" t="s">
        <v>42</v>
      </c>
      <c r="H1" s="33" t="s">
        <v>43</v>
      </c>
      <c r="I1" s="167" t="s">
        <v>44</v>
      </c>
      <c r="J1" s="11" t="s">
        <v>17</v>
      </c>
      <c r="K1" s="2" t="s">
        <v>45</v>
      </c>
      <c r="L1" s="2" t="s">
        <v>46</v>
      </c>
      <c r="M1" s="2" t="s">
        <v>47</v>
      </c>
      <c r="N1" s="11" t="s">
        <v>18</v>
      </c>
      <c r="O1" s="2" t="s">
        <v>45</v>
      </c>
      <c r="P1" s="2" t="s">
        <v>46</v>
      </c>
      <c r="Q1" s="2" t="s">
        <v>47</v>
      </c>
      <c r="R1" s="11" t="s">
        <v>20</v>
      </c>
      <c r="S1" s="2" t="s">
        <v>45</v>
      </c>
      <c r="T1" s="2" t="s">
        <v>46</v>
      </c>
      <c r="U1" s="2" t="s">
        <v>47</v>
      </c>
      <c r="V1" s="62" t="s">
        <v>21</v>
      </c>
      <c r="W1" s="2" t="s">
        <v>45</v>
      </c>
      <c r="X1" s="2" t="s">
        <v>46</v>
      </c>
      <c r="Y1" s="2" t="s">
        <v>47</v>
      </c>
      <c r="Z1" s="61" t="s">
        <v>22</v>
      </c>
      <c r="AA1" s="2" t="s">
        <v>45</v>
      </c>
      <c r="AB1" s="2" t="s">
        <v>46</v>
      </c>
      <c r="AC1" s="2" t="s">
        <v>47</v>
      </c>
      <c r="AD1" s="54" t="s">
        <v>23</v>
      </c>
      <c r="AE1" s="2" t="s">
        <v>45</v>
      </c>
      <c r="AF1" s="2" t="s">
        <v>46</v>
      </c>
      <c r="AG1" s="2" t="s">
        <v>47</v>
      </c>
      <c r="AH1" s="54" t="s">
        <v>24</v>
      </c>
      <c r="AI1" s="2" t="s">
        <v>48</v>
      </c>
      <c r="AJ1" s="2" t="s">
        <v>49</v>
      </c>
      <c r="AK1" s="2" t="s">
        <v>47</v>
      </c>
      <c r="AL1" s="12" t="s">
        <v>25</v>
      </c>
      <c r="AM1" s="2" t="s">
        <v>48</v>
      </c>
      <c r="AN1" s="2" t="s">
        <v>46</v>
      </c>
      <c r="AO1" s="2" t="s">
        <v>47</v>
      </c>
      <c r="AP1" s="12" t="s">
        <v>26</v>
      </c>
      <c r="AQ1" s="2" t="s">
        <v>48</v>
      </c>
      <c r="AR1" s="2" t="s">
        <v>46</v>
      </c>
      <c r="AS1" s="2" t="s">
        <v>47</v>
      </c>
      <c r="AT1" s="2" t="s">
        <v>47</v>
      </c>
      <c r="AU1" s="2" t="s">
        <v>27</v>
      </c>
      <c r="AV1" s="2" t="s">
        <v>45</v>
      </c>
      <c r="AW1" s="2" t="s">
        <v>46</v>
      </c>
      <c r="AX1" s="2" t="s">
        <v>47</v>
      </c>
      <c r="AY1" s="93" t="s">
        <v>50</v>
      </c>
      <c r="AZ1" s="2" t="s">
        <v>45</v>
      </c>
      <c r="BA1" s="2" t="s">
        <v>46</v>
      </c>
      <c r="BB1" s="2" t="s">
        <v>47</v>
      </c>
      <c r="BC1" s="2" t="s">
        <v>29</v>
      </c>
      <c r="BD1" s="2" t="s">
        <v>48</v>
      </c>
      <c r="BE1" s="2" t="s">
        <v>46</v>
      </c>
      <c r="BF1" s="2" t="s">
        <v>47</v>
      </c>
      <c r="BG1" s="49" t="s">
        <v>30</v>
      </c>
      <c r="BH1" s="2" t="s">
        <v>48</v>
      </c>
      <c r="BI1" s="2" t="s">
        <v>46</v>
      </c>
      <c r="BJ1" s="2" t="s">
        <v>47</v>
      </c>
      <c r="BK1" s="13" t="s">
        <v>51</v>
      </c>
      <c r="BL1" s="14" t="s">
        <v>52</v>
      </c>
      <c r="BM1" s="3" t="s">
        <v>53</v>
      </c>
    </row>
    <row r="2" spans="1:65" s="221" customFormat="1" ht="63.95" customHeight="1">
      <c r="A2" s="222" t="s">
        <v>54</v>
      </c>
      <c r="B2" s="215" t="s">
        <v>55</v>
      </c>
      <c r="C2" s="215" t="s">
        <v>56</v>
      </c>
      <c r="D2" s="214" t="s">
        <v>57</v>
      </c>
      <c r="E2" s="216" t="s">
        <v>58</v>
      </c>
      <c r="F2" s="217" t="s">
        <v>59</v>
      </c>
      <c r="G2" s="217">
        <v>1</v>
      </c>
      <c r="H2" s="217" t="s">
        <v>60</v>
      </c>
      <c r="I2" s="218" t="s">
        <v>61</v>
      </c>
      <c r="J2" s="217"/>
      <c r="K2" s="217"/>
      <c r="L2" s="217"/>
      <c r="M2" s="217"/>
      <c r="N2" s="218" t="s">
        <v>62</v>
      </c>
      <c r="O2" s="217"/>
      <c r="P2" s="217"/>
      <c r="Q2" s="217"/>
      <c r="R2" s="217"/>
      <c r="S2" s="217"/>
      <c r="T2" s="217"/>
      <c r="U2" s="217"/>
      <c r="V2" s="219"/>
      <c r="W2" s="219"/>
      <c r="X2" s="219"/>
      <c r="Y2" s="219"/>
      <c r="Z2" s="219"/>
      <c r="AA2" s="219"/>
      <c r="AB2" s="219"/>
      <c r="AC2" s="219"/>
      <c r="AD2" s="219"/>
      <c r="AE2" s="219"/>
      <c r="AF2" s="219"/>
      <c r="AG2" s="219"/>
      <c r="AH2" s="220" t="s">
        <v>63</v>
      </c>
      <c r="AI2" s="217"/>
      <c r="AJ2" s="217" t="s">
        <v>64</v>
      </c>
      <c r="AK2" s="217"/>
      <c r="AL2" s="217"/>
      <c r="AM2" s="217"/>
      <c r="AN2" s="217"/>
      <c r="AO2" s="217"/>
      <c r="AP2" s="217"/>
      <c r="AQ2" s="217"/>
      <c r="AR2" s="217"/>
      <c r="AS2" s="217"/>
      <c r="AT2" s="217"/>
      <c r="AU2" s="217"/>
      <c r="AV2" s="217"/>
      <c r="AW2" s="217"/>
      <c r="AX2" s="217"/>
      <c r="AY2" s="218" t="s">
        <v>65</v>
      </c>
      <c r="AZ2" s="217"/>
      <c r="BA2" s="217"/>
      <c r="BB2" s="217"/>
      <c r="BC2" s="217"/>
      <c r="BD2" s="217"/>
      <c r="BE2" s="217"/>
      <c r="BF2" s="217"/>
      <c r="BG2" s="218" t="s">
        <v>65</v>
      </c>
      <c r="BH2" s="217"/>
      <c r="BI2" s="217"/>
      <c r="BJ2" s="217"/>
      <c r="BK2" s="217"/>
      <c r="BL2" s="217"/>
      <c r="BM2" s="217"/>
    </row>
    <row r="3" spans="1:65" s="32" customFormat="1" ht="63.95" customHeight="1">
      <c r="A3" s="58" t="s">
        <v>66</v>
      </c>
      <c r="B3" s="48" t="s">
        <v>67</v>
      </c>
      <c r="C3" s="58" t="s">
        <v>68</v>
      </c>
      <c r="D3" s="59" t="s">
        <v>69</v>
      </c>
      <c r="E3" s="73" t="s">
        <v>70</v>
      </c>
      <c r="F3" s="47" t="s">
        <v>71</v>
      </c>
      <c r="G3" s="50">
        <v>1</v>
      </c>
      <c r="H3" s="50" t="s">
        <v>60</v>
      </c>
      <c r="I3" s="50" t="s">
        <v>72</v>
      </c>
      <c r="J3" s="50"/>
      <c r="K3" s="50"/>
      <c r="L3" s="50"/>
      <c r="M3" s="50"/>
      <c r="N3" s="51" t="s">
        <v>73</v>
      </c>
      <c r="O3" s="50" t="s">
        <v>13</v>
      </c>
      <c r="P3" s="50" t="s">
        <v>13</v>
      </c>
      <c r="Q3" s="51" t="s">
        <v>74</v>
      </c>
      <c r="R3" s="50"/>
      <c r="S3" s="50"/>
      <c r="T3" s="50"/>
      <c r="U3" s="5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55" t="s">
        <v>63</v>
      </c>
      <c r="AI3" s="50" t="s">
        <v>13</v>
      </c>
      <c r="AJ3" s="50" t="s">
        <v>13</v>
      </c>
      <c r="AK3" s="51" t="s">
        <v>74</v>
      </c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1" t="s">
        <v>65</v>
      </c>
      <c r="AZ3" s="50" t="s">
        <v>13</v>
      </c>
      <c r="BA3" s="50" t="s">
        <v>13</v>
      </c>
      <c r="BB3" s="51" t="s">
        <v>74</v>
      </c>
      <c r="BC3" s="50"/>
      <c r="BD3" s="50"/>
      <c r="BE3" s="50"/>
      <c r="BF3" s="50"/>
      <c r="BG3" s="51" t="s">
        <v>65</v>
      </c>
      <c r="BH3" s="50" t="s">
        <v>64</v>
      </c>
      <c r="BI3" s="50" t="s">
        <v>64</v>
      </c>
      <c r="BJ3" s="51" t="s">
        <v>74</v>
      </c>
      <c r="BK3" s="50"/>
      <c r="BL3" s="50"/>
      <c r="BM3" s="50"/>
    </row>
    <row r="4" spans="1:65" s="32" customFormat="1" ht="63.95" customHeight="1">
      <c r="A4" s="47" t="s">
        <v>75</v>
      </c>
      <c r="B4" s="66" t="s">
        <v>76</v>
      </c>
      <c r="C4" s="48" t="s">
        <v>68</v>
      </c>
      <c r="D4" s="80" t="s">
        <v>77</v>
      </c>
      <c r="E4" s="76" t="s">
        <v>78</v>
      </c>
      <c r="F4" s="46" t="s">
        <v>79</v>
      </c>
      <c r="G4" s="50">
        <v>4</v>
      </c>
      <c r="H4" s="50" t="s">
        <v>60</v>
      </c>
      <c r="I4" s="51" t="s">
        <v>80</v>
      </c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60" t="s">
        <v>81</v>
      </c>
      <c r="W4" s="60" t="s">
        <v>13</v>
      </c>
      <c r="X4" s="60" t="s">
        <v>13</v>
      </c>
      <c r="Y4" s="55" t="s">
        <v>82</v>
      </c>
      <c r="Z4" s="60"/>
      <c r="AA4" s="60"/>
      <c r="AB4" s="60"/>
      <c r="AC4" s="60"/>
      <c r="AD4" s="60"/>
      <c r="AE4" s="60"/>
      <c r="AF4" s="60"/>
      <c r="AG4" s="60"/>
      <c r="AH4" s="60"/>
      <c r="AI4" s="50"/>
      <c r="AJ4" s="50"/>
      <c r="AK4" s="50"/>
      <c r="AL4" s="50" t="s">
        <v>81</v>
      </c>
      <c r="AM4" s="50" t="s">
        <v>13</v>
      </c>
      <c r="AN4" s="50" t="s">
        <v>13</v>
      </c>
      <c r="AO4" s="51" t="s">
        <v>82</v>
      </c>
      <c r="AP4" s="50" t="s">
        <v>81</v>
      </c>
      <c r="AQ4" s="50" t="s">
        <v>13</v>
      </c>
      <c r="AR4" s="50" t="s">
        <v>13</v>
      </c>
      <c r="AS4" s="51" t="s">
        <v>82</v>
      </c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 t="s">
        <v>81</v>
      </c>
      <c r="BH4" s="50" t="s">
        <v>13</v>
      </c>
      <c r="BI4" s="50" t="s">
        <v>13</v>
      </c>
      <c r="BJ4" s="51" t="s">
        <v>82</v>
      </c>
      <c r="BK4" s="50"/>
      <c r="BL4" s="50"/>
      <c r="BM4" s="50"/>
    </row>
    <row r="5" spans="1:65" s="32" customFormat="1" ht="63.95" customHeight="1">
      <c r="A5" s="47" t="s">
        <v>83</v>
      </c>
      <c r="B5" s="66" t="s">
        <v>84</v>
      </c>
      <c r="C5" s="48" t="s">
        <v>56</v>
      </c>
      <c r="D5" s="81" t="s">
        <v>85</v>
      </c>
      <c r="E5" s="77" t="s">
        <v>86</v>
      </c>
      <c r="F5" s="46" t="s">
        <v>87</v>
      </c>
      <c r="G5" s="50">
        <v>4</v>
      </c>
      <c r="H5" s="50" t="s">
        <v>60</v>
      </c>
      <c r="I5" s="51" t="s">
        <v>88</v>
      </c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60" t="s">
        <v>81</v>
      </c>
      <c r="W5" s="60" t="s">
        <v>13</v>
      </c>
      <c r="X5" s="60" t="s">
        <v>13</v>
      </c>
      <c r="Y5" s="55" t="s">
        <v>82</v>
      </c>
      <c r="Z5" s="60"/>
      <c r="AA5" s="60"/>
      <c r="AB5" s="60"/>
      <c r="AC5" s="60"/>
      <c r="AD5" s="60"/>
      <c r="AE5" s="60"/>
      <c r="AF5" s="60"/>
      <c r="AG5" s="60"/>
      <c r="AH5" s="60"/>
      <c r="AI5" s="50"/>
      <c r="AJ5" s="50"/>
      <c r="AK5" s="50"/>
      <c r="AL5" s="60" t="s">
        <v>81</v>
      </c>
      <c r="AM5" s="60" t="s">
        <v>13</v>
      </c>
      <c r="AN5" s="60" t="s">
        <v>13</v>
      </c>
      <c r="AO5" s="51" t="s">
        <v>82</v>
      </c>
      <c r="AP5" s="60" t="s">
        <v>81</v>
      </c>
      <c r="AQ5" s="50" t="s">
        <v>13</v>
      </c>
      <c r="AR5" s="50" t="s">
        <v>13</v>
      </c>
      <c r="AS5" s="51" t="s">
        <v>82</v>
      </c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60" t="s">
        <v>81</v>
      </c>
      <c r="BH5" s="60" t="s">
        <v>13</v>
      </c>
      <c r="BI5" s="60" t="s">
        <v>13</v>
      </c>
      <c r="BJ5" s="51" t="s">
        <v>82</v>
      </c>
      <c r="BK5" s="50"/>
      <c r="BL5" s="50"/>
      <c r="BM5" s="50"/>
    </row>
    <row r="6" spans="1:65" s="32" customFormat="1" ht="63.95" customHeight="1">
      <c r="A6" s="47" t="s">
        <v>75</v>
      </c>
      <c r="B6" s="112" t="s">
        <v>89</v>
      </c>
      <c r="C6" s="48" t="s">
        <v>56</v>
      </c>
      <c r="D6" s="80" t="s">
        <v>90</v>
      </c>
      <c r="E6" s="76" t="s">
        <v>91</v>
      </c>
      <c r="F6" s="46" t="s">
        <v>79</v>
      </c>
      <c r="G6" s="50">
        <v>4</v>
      </c>
      <c r="H6" s="50" t="s">
        <v>60</v>
      </c>
      <c r="I6" s="51" t="s">
        <v>92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60" t="s">
        <v>81</v>
      </c>
      <c r="W6" s="60" t="s">
        <v>13</v>
      </c>
      <c r="X6" s="60" t="s">
        <v>13</v>
      </c>
      <c r="Y6" s="55" t="s">
        <v>93</v>
      </c>
      <c r="Z6" s="60"/>
      <c r="AA6" s="60"/>
      <c r="AB6" s="60"/>
      <c r="AC6" s="60"/>
      <c r="AD6" s="60"/>
      <c r="AE6" s="60"/>
      <c r="AF6" s="60"/>
      <c r="AG6" s="60"/>
      <c r="AH6" s="60"/>
      <c r="AI6" s="50"/>
      <c r="AJ6" s="50"/>
      <c r="AK6" s="50"/>
      <c r="AL6" s="60" t="s">
        <v>81</v>
      </c>
      <c r="AM6" s="60" t="s">
        <v>13</v>
      </c>
      <c r="AN6" s="60" t="s">
        <v>13</v>
      </c>
      <c r="AO6" s="51" t="s">
        <v>93</v>
      </c>
      <c r="AP6" s="60" t="s">
        <v>81</v>
      </c>
      <c r="AQ6" s="60" t="s">
        <v>13</v>
      </c>
      <c r="AR6" s="60" t="s">
        <v>13</v>
      </c>
      <c r="AS6" s="51" t="s">
        <v>93</v>
      </c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60" t="s">
        <v>81</v>
      </c>
      <c r="BH6" s="60" t="s">
        <v>13</v>
      </c>
      <c r="BI6" s="60" t="s">
        <v>13</v>
      </c>
      <c r="BJ6" s="51" t="s">
        <v>93</v>
      </c>
      <c r="BK6" s="50"/>
      <c r="BL6" s="50"/>
      <c r="BM6" s="50"/>
    </row>
    <row r="7" spans="1:65" s="32" customFormat="1" ht="63.95" customHeight="1">
      <c r="A7" s="47" t="s">
        <v>75</v>
      </c>
      <c r="B7" s="48" t="s">
        <v>94</v>
      </c>
      <c r="C7" s="48" t="s">
        <v>68</v>
      </c>
      <c r="D7" s="80" t="s">
        <v>95</v>
      </c>
      <c r="E7" s="76" t="s">
        <v>5</v>
      </c>
      <c r="F7" s="46" t="s">
        <v>96</v>
      </c>
      <c r="G7" s="63" t="s">
        <v>97</v>
      </c>
      <c r="H7" s="50" t="s">
        <v>60</v>
      </c>
      <c r="I7" s="51" t="s">
        <v>98</v>
      </c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60" t="s">
        <v>81</v>
      </c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50"/>
      <c r="AJ7" s="50"/>
      <c r="AK7" s="50"/>
      <c r="AL7" s="60" t="s">
        <v>81</v>
      </c>
      <c r="AM7" s="60"/>
      <c r="AN7" s="60"/>
      <c r="AO7" s="50"/>
      <c r="AP7" s="60" t="s">
        <v>81</v>
      </c>
      <c r="AQ7" s="60"/>
      <c r="AR7" s="6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60" t="s">
        <v>81</v>
      </c>
      <c r="BH7" s="60"/>
      <c r="BI7" s="60"/>
      <c r="BJ7" s="50"/>
      <c r="BK7" s="50"/>
      <c r="BL7" s="50"/>
      <c r="BM7" s="50"/>
    </row>
    <row r="8" spans="1:65" s="32" customFormat="1" ht="63.95" customHeight="1">
      <c r="A8" s="65" t="s">
        <v>75</v>
      </c>
      <c r="B8" s="112" t="s">
        <v>99</v>
      </c>
      <c r="C8" s="66" t="s">
        <v>56</v>
      </c>
      <c r="D8" s="67" t="s">
        <v>100</v>
      </c>
      <c r="E8" s="78" t="s">
        <v>101</v>
      </c>
      <c r="F8" s="65" t="s">
        <v>79</v>
      </c>
      <c r="G8" s="50">
        <v>4</v>
      </c>
      <c r="H8" s="50" t="s">
        <v>60</v>
      </c>
      <c r="I8" s="51" t="s">
        <v>102</v>
      </c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60" t="s">
        <v>81</v>
      </c>
      <c r="W8" s="60" t="s">
        <v>13</v>
      </c>
      <c r="X8" s="60" t="s">
        <v>13</v>
      </c>
      <c r="Y8" s="55" t="s">
        <v>93</v>
      </c>
      <c r="Z8" s="60"/>
      <c r="AA8" s="60"/>
      <c r="AB8" s="60"/>
      <c r="AC8" s="60"/>
      <c r="AD8" s="60"/>
      <c r="AE8" s="60"/>
      <c r="AF8" s="60"/>
      <c r="AG8" s="60"/>
      <c r="AH8" s="60"/>
      <c r="AI8" s="50"/>
      <c r="AJ8" s="50"/>
      <c r="AK8" s="50"/>
      <c r="AL8" s="60" t="s">
        <v>81</v>
      </c>
      <c r="AM8" s="60" t="s">
        <v>13</v>
      </c>
      <c r="AN8" s="60" t="s">
        <v>13</v>
      </c>
      <c r="AO8" s="51" t="s">
        <v>93</v>
      </c>
      <c r="AP8" s="60" t="s">
        <v>81</v>
      </c>
      <c r="AQ8" s="60" t="s">
        <v>13</v>
      </c>
      <c r="AR8" s="60" t="s">
        <v>13</v>
      </c>
      <c r="AS8" s="51" t="s">
        <v>93</v>
      </c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60" t="s">
        <v>81</v>
      </c>
      <c r="BH8" s="60" t="s">
        <v>13</v>
      </c>
      <c r="BI8" s="60" t="s">
        <v>13</v>
      </c>
      <c r="BJ8" s="51" t="s">
        <v>93</v>
      </c>
      <c r="BK8" s="50"/>
      <c r="BL8" s="50"/>
      <c r="BM8" s="50"/>
    </row>
    <row r="9" spans="1:65" s="32" customFormat="1" ht="63.95" customHeight="1">
      <c r="A9" s="65" t="s">
        <v>103</v>
      </c>
      <c r="B9" s="106" t="s">
        <v>104</v>
      </c>
      <c r="C9" s="66" t="s">
        <v>105</v>
      </c>
      <c r="D9" s="68" t="s">
        <v>106</v>
      </c>
      <c r="E9" s="78" t="s">
        <v>107</v>
      </c>
      <c r="F9" s="65" t="s">
        <v>108</v>
      </c>
      <c r="G9" s="50">
        <v>2</v>
      </c>
      <c r="H9" s="50" t="s">
        <v>60</v>
      </c>
      <c r="I9" s="51" t="s">
        <v>109</v>
      </c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60" t="s">
        <v>81</v>
      </c>
      <c r="W9" s="60" t="s">
        <v>13</v>
      </c>
      <c r="X9" s="60" t="s">
        <v>13</v>
      </c>
      <c r="Y9" s="55" t="s">
        <v>110</v>
      </c>
      <c r="Z9" s="60"/>
      <c r="AA9" s="60"/>
      <c r="AB9" s="60"/>
      <c r="AC9" s="60"/>
      <c r="AD9" s="60"/>
      <c r="AE9" s="60"/>
      <c r="AF9" s="60"/>
      <c r="AG9" s="60"/>
      <c r="AH9" s="60"/>
      <c r="AI9" s="50"/>
      <c r="AJ9" s="50"/>
      <c r="AK9" s="50"/>
      <c r="AL9" s="60" t="s">
        <v>81</v>
      </c>
      <c r="AM9" s="60" t="s">
        <v>13</v>
      </c>
      <c r="AN9" s="60" t="s">
        <v>13</v>
      </c>
      <c r="AO9" s="51" t="s">
        <v>110</v>
      </c>
      <c r="AP9" s="60" t="s">
        <v>81</v>
      </c>
      <c r="AQ9" s="50" t="s">
        <v>13</v>
      </c>
      <c r="AR9" s="50" t="s">
        <v>13</v>
      </c>
      <c r="AS9" s="51" t="s">
        <v>110</v>
      </c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60" t="s">
        <v>81</v>
      </c>
      <c r="BH9" s="60" t="s">
        <v>13</v>
      </c>
      <c r="BI9" s="60" t="s">
        <v>13</v>
      </c>
      <c r="BJ9" s="51" t="s">
        <v>110</v>
      </c>
      <c r="BK9" s="50"/>
      <c r="BL9" s="50"/>
      <c r="BM9" s="50"/>
    </row>
    <row r="10" spans="1:65" s="32" customFormat="1" ht="63.95" customHeight="1">
      <c r="A10" s="65" t="s">
        <v>103</v>
      </c>
      <c r="B10" s="106" t="s">
        <v>111</v>
      </c>
      <c r="C10" s="66" t="s">
        <v>105</v>
      </c>
      <c r="D10" s="81" t="s">
        <v>112</v>
      </c>
      <c r="E10" s="78" t="s">
        <v>113</v>
      </c>
      <c r="F10" s="65" t="s">
        <v>108</v>
      </c>
      <c r="G10" s="50">
        <v>2</v>
      </c>
      <c r="H10" s="50" t="s">
        <v>60</v>
      </c>
      <c r="I10" s="51" t="s">
        <v>114</v>
      </c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60" t="s">
        <v>81</v>
      </c>
      <c r="W10" s="60" t="s">
        <v>13</v>
      </c>
      <c r="X10" s="60" t="s">
        <v>13</v>
      </c>
      <c r="Y10" s="55" t="s">
        <v>110</v>
      </c>
      <c r="Z10" s="60"/>
      <c r="AA10" s="60"/>
      <c r="AB10" s="60"/>
      <c r="AC10" s="60"/>
      <c r="AD10" s="60"/>
      <c r="AE10" s="60"/>
      <c r="AF10" s="60"/>
      <c r="AG10" s="60"/>
      <c r="AH10" s="60"/>
      <c r="AI10" s="50"/>
      <c r="AJ10" s="50"/>
      <c r="AK10" s="50"/>
      <c r="AL10" s="60" t="s">
        <v>81</v>
      </c>
      <c r="AM10" s="60" t="s">
        <v>13</v>
      </c>
      <c r="AN10" s="60" t="s">
        <v>13</v>
      </c>
      <c r="AO10" s="51" t="s">
        <v>110</v>
      </c>
      <c r="AP10" s="60" t="s">
        <v>81</v>
      </c>
      <c r="AQ10" s="50" t="s">
        <v>13</v>
      </c>
      <c r="AR10" s="50" t="s">
        <v>13</v>
      </c>
      <c r="AS10" s="51" t="s">
        <v>110</v>
      </c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60" t="s">
        <v>81</v>
      </c>
      <c r="BH10" s="60" t="s">
        <v>13</v>
      </c>
      <c r="BI10" s="60" t="s">
        <v>13</v>
      </c>
      <c r="BJ10" s="51" t="s">
        <v>110</v>
      </c>
      <c r="BK10" s="50"/>
      <c r="BL10" s="50"/>
      <c r="BM10" s="50"/>
    </row>
    <row r="11" spans="1:65" s="32" customFormat="1" ht="63.95" customHeight="1">
      <c r="A11" s="47" t="s">
        <v>75</v>
      </c>
      <c r="B11" s="112" t="s">
        <v>115</v>
      </c>
      <c r="C11" s="47" t="s">
        <v>68</v>
      </c>
      <c r="D11" s="69" t="s">
        <v>116</v>
      </c>
      <c r="E11" s="75" t="s">
        <v>117</v>
      </c>
      <c r="F11" s="47" t="s">
        <v>118</v>
      </c>
      <c r="G11" s="63">
        <v>21</v>
      </c>
      <c r="H11" s="50" t="s">
        <v>60</v>
      </c>
      <c r="I11" s="51" t="s">
        <v>119</v>
      </c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60" t="s">
        <v>81</v>
      </c>
      <c r="W11" s="60" t="s">
        <v>13</v>
      </c>
      <c r="X11" s="60" t="s">
        <v>13</v>
      </c>
      <c r="Y11" s="55" t="s">
        <v>93</v>
      </c>
      <c r="Z11" s="60"/>
      <c r="AA11" s="60"/>
      <c r="AB11" s="60"/>
      <c r="AC11" s="60"/>
      <c r="AD11" s="60"/>
      <c r="AE11" s="60"/>
      <c r="AF11" s="60"/>
      <c r="AG11" s="60"/>
      <c r="AH11" s="60"/>
      <c r="AI11" s="50"/>
      <c r="AJ11" s="50"/>
      <c r="AK11" s="50"/>
      <c r="AL11" s="60" t="s">
        <v>81</v>
      </c>
      <c r="AM11" s="60" t="s">
        <v>13</v>
      </c>
      <c r="AN11" s="60" t="s">
        <v>13</v>
      </c>
      <c r="AO11" s="51" t="s">
        <v>93</v>
      </c>
      <c r="AP11" s="60" t="s">
        <v>81</v>
      </c>
      <c r="AQ11" s="60" t="s">
        <v>13</v>
      </c>
      <c r="AR11" s="60" t="s">
        <v>13</v>
      </c>
      <c r="AS11" s="51" t="s">
        <v>93</v>
      </c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60" t="s">
        <v>81</v>
      </c>
      <c r="BH11" s="60" t="s">
        <v>13</v>
      </c>
      <c r="BI11" s="60" t="s">
        <v>13</v>
      </c>
      <c r="BJ11" s="51" t="s">
        <v>93</v>
      </c>
      <c r="BK11" s="50"/>
      <c r="BL11" s="50"/>
      <c r="BM11" s="50"/>
    </row>
    <row r="12" spans="1:65" s="32" customFormat="1" ht="63.95" customHeight="1">
      <c r="A12" s="47" t="s">
        <v>75</v>
      </c>
      <c r="B12" s="48" t="s">
        <v>120</v>
      </c>
      <c r="C12" s="47" t="s">
        <v>68</v>
      </c>
      <c r="D12" s="69" t="s">
        <v>121</v>
      </c>
      <c r="E12" s="75" t="s">
        <v>122</v>
      </c>
      <c r="F12" s="47" t="s">
        <v>123</v>
      </c>
      <c r="G12" s="70" t="s">
        <v>97</v>
      </c>
      <c r="H12" s="50" t="s">
        <v>60</v>
      </c>
      <c r="I12" s="51" t="s">
        <v>124</v>
      </c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60" t="s">
        <v>81</v>
      </c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50"/>
      <c r="AJ12" s="50"/>
      <c r="AK12" s="50"/>
      <c r="AL12" s="60" t="s">
        <v>81</v>
      </c>
      <c r="AM12" s="60"/>
      <c r="AN12" s="60"/>
      <c r="AO12" s="50"/>
      <c r="AP12" s="60" t="s">
        <v>81</v>
      </c>
      <c r="AQ12" s="60"/>
      <c r="AR12" s="6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60" t="s">
        <v>81</v>
      </c>
      <c r="BH12" s="60"/>
      <c r="BI12" s="60"/>
      <c r="BJ12" s="50"/>
      <c r="BK12" s="50"/>
      <c r="BL12" s="50"/>
      <c r="BM12" s="50"/>
    </row>
    <row r="13" spans="1:65" s="32" customFormat="1" ht="63.95" customHeight="1">
      <c r="A13" s="47" t="s">
        <v>103</v>
      </c>
      <c r="B13" s="48" t="s">
        <v>9</v>
      </c>
      <c r="C13" s="47" t="s">
        <v>68</v>
      </c>
      <c r="D13" s="69" t="s">
        <v>125</v>
      </c>
      <c r="E13" s="75" t="s">
        <v>126</v>
      </c>
      <c r="F13" s="47" t="s">
        <v>108</v>
      </c>
      <c r="G13" s="32" t="s">
        <v>127</v>
      </c>
      <c r="H13" s="50" t="s">
        <v>60</v>
      </c>
      <c r="I13" s="51" t="s">
        <v>128</v>
      </c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60" t="s">
        <v>81</v>
      </c>
      <c r="W13" s="60" t="s">
        <v>13</v>
      </c>
      <c r="X13" s="60" t="s">
        <v>13</v>
      </c>
      <c r="Y13" s="55" t="s">
        <v>74</v>
      </c>
      <c r="Z13" s="60"/>
      <c r="AA13" s="60"/>
      <c r="AB13" s="60"/>
      <c r="AC13" s="60"/>
      <c r="AD13" s="60"/>
      <c r="AE13" s="60"/>
      <c r="AF13" s="60"/>
      <c r="AG13" s="60"/>
      <c r="AH13" s="60"/>
      <c r="AI13" s="50"/>
      <c r="AJ13" s="50"/>
      <c r="AK13" s="50"/>
      <c r="AL13" s="60" t="s">
        <v>81</v>
      </c>
      <c r="AM13" s="60" t="s">
        <v>13</v>
      </c>
      <c r="AN13" s="60" t="s">
        <v>13</v>
      </c>
      <c r="AO13" s="51" t="s">
        <v>74</v>
      </c>
      <c r="AP13" s="60" t="s">
        <v>81</v>
      </c>
      <c r="AQ13" s="60" t="s">
        <v>13</v>
      </c>
      <c r="AR13" s="60" t="s">
        <v>13</v>
      </c>
      <c r="AS13" s="51" t="s">
        <v>74</v>
      </c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60" t="s">
        <v>81</v>
      </c>
      <c r="BH13" s="60" t="s">
        <v>13</v>
      </c>
      <c r="BI13" s="60" t="s">
        <v>13</v>
      </c>
      <c r="BJ13" s="51" t="s">
        <v>74</v>
      </c>
      <c r="BK13" s="50"/>
      <c r="BL13" s="50"/>
      <c r="BM13" s="50"/>
    </row>
    <row r="14" spans="1:65" s="32" customFormat="1" ht="63.95" customHeight="1">
      <c r="A14" s="47" t="s">
        <v>103</v>
      </c>
      <c r="B14" s="106" t="s">
        <v>129</v>
      </c>
      <c r="C14" s="47" t="s">
        <v>68</v>
      </c>
      <c r="D14" s="69" t="s">
        <v>130</v>
      </c>
      <c r="E14" s="75" t="s">
        <v>131</v>
      </c>
      <c r="F14" s="47" t="s">
        <v>108</v>
      </c>
      <c r="G14" s="50">
        <v>38</v>
      </c>
      <c r="H14" s="50" t="s">
        <v>60</v>
      </c>
      <c r="I14" s="51" t="s">
        <v>132</v>
      </c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60" t="s">
        <v>81</v>
      </c>
      <c r="W14" s="60" t="s">
        <v>13</v>
      </c>
      <c r="X14" s="60" t="s">
        <v>13</v>
      </c>
      <c r="Y14" s="245" t="s">
        <v>110</v>
      </c>
      <c r="Z14" s="60"/>
      <c r="AA14" s="60"/>
      <c r="AB14" s="60"/>
      <c r="AC14" s="60"/>
      <c r="AD14" s="60"/>
      <c r="AE14" s="60"/>
      <c r="AF14" s="60"/>
      <c r="AG14" s="60"/>
      <c r="AH14" s="60"/>
      <c r="AI14" s="50"/>
      <c r="AJ14" s="50"/>
      <c r="AK14" s="50"/>
      <c r="AL14" s="60" t="s">
        <v>81</v>
      </c>
      <c r="AM14" s="60" t="s">
        <v>13</v>
      </c>
      <c r="AN14" s="60" t="s">
        <v>13</v>
      </c>
      <c r="AO14" s="51" t="s">
        <v>110</v>
      </c>
      <c r="AP14" s="60" t="s">
        <v>81</v>
      </c>
      <c r="AQ14" s="50" t="s">
        <v>13</v>
      </c>
      <c r="AR14" s="50" t="s">
        <v>13</v>
      </c>
      <c r="AS14" s="51" t="s">
        <v>110</v>
      </c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60" t="s">
        <v>81</v>
      </c>
      <c r="BH14" s="60" t="s">
        <v>13</v>
      </c>
      <c r="BI14" s="60" t="s">
        <v>13</v>
      </c>
      <c r="BJ14" s="51" t="s">
        <v>110</v>
      </c>
      <c r="BK14" s="50"/>
      <c r="BL14" s="50"/>
      <c r="BM14" s="50"/>
    </row>
    <row r="15" spans="1:65" s="32" customFormat="1" ht="63.95" customHeight="1">
      <c r="A15" s="47" t="s">
        <v>133</v>
      </c>
      <c r="B15" s="47" t="s">
        <v>134</v>
      </c>
      <c r="C15" s="241" t="s">
        <v>56</v>
      </c>
      <c r="D15" s="69" t="s">
        <v>135</v>
      </c>
      <c r="E15" s="46" t="s">
        <v>136</v>
      </c>
      <c r="F15" s="71" t="s">
        <v>137</v>
      </c>
      <c r="G15" s="50">
        <v>1</v>
      </c>
      <c r="H15" s="50" t="s">
        <v>60</v>
      </c>
      <c r="I15" s="51" t="s">
        <v>138</v>
      </c>
      <c r="J15" s="121" t="s">
        <v>139</v>
      </c>
      <c r="K15" s="50"/>
      <c r="L15" s="50"/>
      <c r="M15" s="50"/>
      <c r="N15" s="122" t="s">
        <v>140</v>
      </c>
      <c r="O15" s="50" t="s">
        <v>13</v>
      </c>
      <c r="P15" s="50" t="s">
        <v>13</v>
      </c>
      <c r="Q15" s="51" t="s">
        <v>93</v>
      </c>
      <c r="R15" s="51" t="s">
        <v>141</v>
      </c>
      <c r="S15" s="50" t="s">
        <v>13</v>
      </c>
      <c r="T15" s="50" t="s">
        <v>13</v>
      </c>
      <c r="U15" s="51" t="s">
        <v>93</v>
      </c>
      <c r="V15" s="60" t="s">
        <v>81</v>
      </c>
      <c r="W15" s="60" t="s">
        <v>13</v>
      </c>
      <c r="X15" s="60" t="s">
        <v>13</v>
      </c>
      <c r="Y15" s="249" t="s">
        <v>93</v>
      </c>
      <c r="Z15" s="243" t="s">
        <v>142</v>
      </c>
      <c r="AA15" s="60" t="s">
        <v>13</v>
      </c>
      <c r="AB15" s="60" t="s">
        <v>13</v>
      </c>
      <c r="AC15" s="55" t="s">
        <v>143</v>
      </c>
      <c r="AD15" s="55" t="s">
        <v>144</v>
      </c>
      <c r="AE15" s="60" t="s">
        <v>13</v>
      </c>
      <c r="AF15" s="60" t="s">
        <v>13</v>
      </c>
      <c r="AG15" s="55" t="s">
        <v>143</v>
      </c>
      <c r="AH15" s="60"/>
      <c r="AI15" s="50"/>
      <c r="AJ15" s="50"/>
      <c r="AK15" s="50"/>
      <c r="AL15" s="60" t="s">
        <v>81</v>
      </c>
      <c r="AM15" s="60" t="s">
        <v>13</v>
      </c>
      <c r="AN15" s="60" t="s">
        <v>13</v>
      </c>
      <c r="AO15" s="51" t="s">
        <v>93</v>
      </c>
      <c r="AP15" s="60" t="s">
        <v>81</v>
      </c>
      <c r="AQ15" s="60" t="s">
        <v>13</v>
      </c>
      <c r="AR15" s="60" t="s">
        <v>13</v>
      </c>
      <c r="AS15" s="51" t="s">
        <v>93</v>
      </c>
      <c r="AT15" s="50"/>
      <c r="AU15" s="51" t="s">
        <v>145</v>
      </c>
      <c r="AV15" s="50" t="s">
        <v>13</v>
      </c>
      <c r="AW15" s="50" t="s">
        <v>13</v>
      </c>
      <c r="AX15" s="51" t="s">
        <v>93</v>
      </c>
      <c r="AY15" s="50"/>
      <c r="AZ15" s="50"/>
      <c r="BA15" s="50"/>
      <c r="BB15" s="50"/>
      <c r="BC15" s="50"/>
      <c r="BD15" s="50"/>
      <c r="BE15" s="50"/>
      <c r="BF15" s="50"/>
      <c r="BG15" s="50" t="s">
        <v>81</v>
      </c>
      <c r="BH15" s="50" t="s">
        <v>13</v>
      </c>
      <c r="BI15" s="50" t="s">
        <v>13</v>
      </c>
      <c r="BJ15" s="51" t="s">
        <v>93</v>
      </c>
      <c r="BK15" s="50"/>
      <c r="BL15" s="50"/>
      <c r="BM15" s="50"/>
    </row>
    <row r="16" spans="1:65" ht="63.95" customHeight="1">
      <c r="A16" s="47" t="s">
        <v>146</v>
      </c>
      <c r="B16" s="48" t="s">
        <v>147</v>
      </c>
      <c r="C16" s="174" t="s">
        <v>68</v>
      </c>
      <c r="D16" s="69" t="s">
        <v>148</v>
      </c>
      <c r="E16" s="76" t="s">
        <v>149</v>
      </c>
      <c r="F16" s="46" t="s">
        <v>87</v>
      </c>
      <c r="G16" s="52">
        <v>1</v>
      </c>
      <c r="H16" s="50" t="s">
        <v>60</v>
      </c>
      <c r="I16" s="53" t="s">
        <v>150</v>
      </c>
      <c r="J16" s="52"/>
      <c r="K16" s="52"/>
      <c r="L16" s="52"/>
      <c r="M16" s="52"/>
      <c r="N16" s="53" t="s">
        <v>151</v>
      </c>
      <c r="O16" s="50" t="s">
        <v>13</v>
      </c>
      <c r="P16" s="50" t="s">
        <v>13</v>
      </c>
      <c r="Q16" s="53" t="s">
        <v>152</v>
      </c>
      <c r="R16" s="52"/>
      <c r="S16" s="52"/>
      <c r="T16" s="52"/>
      <c r="U16" s="52"/>
      <c r="V16" s="57" t="s">
        <v>81</v>
      </c>
      <c r="W16" s="60" t="s">
        <v>13</v>
      </c>
      <c r="X16" s="60" t="s">
        <v>13</v>
      </c>
      <c r="Y16" s="247" t="s">
        <v>152</v>
      </c>
      <c r="Z16" s="181" t="s">
        <v>153</v>
      </c>
      <c r="AA16" s="60" t="s">
        <v>13</v>
      </c>
      <c r="AB16" s="60" t="s">
        <v>13</v>
      </c>
      <c r="AC16" s="56" t="s">
        <v>152</v>
      </c>
      <c r="AD16" s="124" t="s">
        <v>154</v>
      </c>
      <c r="AE16" s="60"/>
      <c r="AF16" s="60"/>
      <c r="AG16" s="57"/>
      <c r="AH16" s="124" t="s">
        <v>155</v>
      </c>
      <c r="AI16" s="50" t="s">
        <v>13</v>
      </c>
      <c r="AJ16" s="50" t="s">
        <v>13</v>
      </c>
      <c r="AK16" s="53" t="s">
        <v>152</v>
      </c>
      <c r="AL16" s="52"/>
      <c r="AM16" s="52"/>
      <c r="AN16" s="52"/>
      <c r="AO16" s="52"/>
      <c r="AP16" s="60" t="s">
        <v>81</v>
      </c>
      <c r="AQ16" s="60" t="s">
        <v>13</v>
      </c>
      <c r="AR16" s="60" t="s">
        <v>13</v>
      </c>
      <c r="AS16" s="53" t="s">
        <v>152</v>
      </c>
      <c r="AT16" s="52"/>
      <c r="AU16" s="53" t="s">
        <v>156</v>
      </c>
      <c r="AV16" s="50" t="s">
        <v>13</v>
      </c>
      <c r="AW16" s="50" t="s">
        <v>13</v>
      </c>
      <c r="AX16" s="53" t="s">
        <v>152</v>
      </c>
      <c r="AY16" s="52"/>
      <c r="AZ16" s="52"/>
      <c r="BA16" s="52"/>
      <c r="BB16" s="52"/>
      <c r="BC16" s="52"/>
      <c r="BD16" s="52"/>
      <c r="BE16" s="52"/>
      <c r="BF16" s="52"/>
      <c r="BG16" s="50" t="s">
        <v>81</v>
      </c>
      <c r="BH16" s="50" t="s">
        <v>13</v>
      </c>
      <c r="BI16" s="50" t="s">
        <v>13</v>
      </c>
      <c r="BJ16" s="53" t="s">
        <v>152</v>
      </c>
      <c r="BK16" s="52"/>
      <c r="BL16" s="52"/>
      <c r="BM16" s="52"/>
    </row>
    <row r="17" spans="1:65" ht="63.95" customHeight="1">
      <c r="A17" s="47" t="s">
        <v>146</v>
      </c>
      <c r="B17" s="48" t="s">
        <v>157</v>
      </c>
      <c r="C17" s="241" t="s">
        <v>56</v>
      </c>
      <c r="D17" s="69" t="s">
        <v>158</v>
      </c>
      <c r="E17" s="111" t="s">
        <v>159</v>
      </c>
      <c r="F17" s="46" t="s">
        <v>160</v>
      </c>
      <c r="G17" s="52">
        <v>1</v>
      </c>
      <c r="H17" s="50" t="s">
        <v>60</v>
      </c>
      <c r="I17" s="168" t="s">
        <v>161</v>
      </c>
      <c r="J17" s="127" t="s">
        <v>162</v>
      </c>
      <c r="K17" s="52"/>
      <c r="L17" s="52"/>
      <c r="M17" s="52"/>
      <c r="N17" s="156" t="s">
        <v>163</v>
      </c>
      <c r="O17" s="50" t="s">
        <v>13</v>
      </c>
      <c r="P17" s="50" t="s">
        <v>13</v>
      </c>
      <c r="Q17" s="53" t="s">
        <v>93</v>
      </c>
      <c r="R17" s="52"/>
      <c r="S17" s="52"/>
      <c r="T17" s="52"/>
      <c r="U17" s="52"/>
      <c r="V17" s="57" t="s">
        <v>81</v>
      </c>
      <c r="W17" s="60" t="s">
        <v>13</v>
      </c>
      <c r="X17" s="255" t="s">
        <v>13</v>
      </c>
      <c r="Y17" s="246" t="s">
        <v>93</v>
      </c>
      <c r="Z17" s="181" t="s">
        <v>164</v>
      </c>
      <c r="AA17" s="60" t="s">
        <v>13</v>
      </c>
      <c r="AB17" s="60" t="s">
        <v>13</v>
      </c>
      <c r="AC17" s="56" t="s">
        <v>143</v>
      </c>
      <c r="AD17" s="57"/>
      <c r="AE17" s="57"/>
      <c r="AF17" s="57"/>
      <c r="AG17" s="57"/>
      <c r="AH17" s="56" t="s">
        <v>165</v>
      </c>
      <c r="AI17" s="50" t="s">
        <v>13</v>
      </c>
      <c r="AJ17" s="50" t="s">
        <v>13</v>
      </c>
      <c r="AK17" s="53" t="s">
        <v>143</v>
      </c>
      <c r="AL17" s="52" t="s">
        <v>81</v>
      </c>
      <c r="AM17" s="60" t="s">
        <v>13</v>
      </c>
      <c r="AN17" s="60" t="s">
        <v>13</v>
      </c>
      <c r="AO17" s="51" t="s">
        <v>93</v>
      </c>
      <c r="AP17" s="52" t="s">
        <v>81</v>
      </c>
      <c r="AQ17" s="60" t="s">
        <v>13</v>
      </c>
      <c r="AR17" s="60" t="s">
        <v>13</v>
      </c>
      <c r="AS17" s="53" t="s">
        <v>93</v>
      </c>
      <c r="AT17" s="52"/>
      <c r="AU17" s="53" t="s">
        <v>166</v>
      </c>
      <c r="AV17" s="50" t="s">
        <v>13</v>
      </c>
      <c r="AW17" s="50" t="s">
        <v>13</v>
      </c>
      <c r="AX17" s="53" t="s">
        <v>143</v>
      </c>
      <c r="AY17" s="53" t="s">
        <v>167</v>
      </c>
      <c r="AZ17" s="50" t="s">
        <v>13</v>
      </c>
      <c r="BA17" s="50" t="s">
        <v>13</v>
      </c>
      <c r="BB17" s="53" t="s">
        <v>143</v>
      </c>
      <c r="BC17" s="53" t="s">
        <v>168</v>
      </c>
      <c r="BD17" s="50" t="s">
        <v>13</v>
      </c>
      <c r="BE17" s="50" t="s">
        <v>13</v>
      </c>
      <c r="BF17" s="53" t="s">
        <v>143</v>
      </c>
      <c r="BG17" s="50"/>
      <c r="BH17" s="50"/>
      <c r="BI17" s="50"/>
      <c r="BJ17" s="52"/>
      <c r="BK17" s="53" t="s">
        <v>169</v>
      </c>
      <c r="BL17" s="52" t="s">
        <v>170</v>
      </c>
      <c r="BM17" s="52"/>
    </row>
    <row r="18" spans="1:65" ht="63.95" customHeight="1">
      <c r="A18" s="47" t="s">
        <v>146</v>
      </c>
      <c r="B18" s="48" t="s">
        <v>171</v>
      </c>
      <c r="C18" s="47" t="s">
        <v>56</v>
      </c>
      <c r="D18" s="69" t="s">
        <v>172</v>
      </c>
      <c r="E18" s="76" t="s">
        <v>173</v>
      </c>
      <c r="F18" s="46" t="s">
        <v>137</v>
      </c>
      <c r="G18" s="52" t="s">
        <v>174</v>
      </c>
      <c r="H18" s="50" t="s">
        <v>60</v>
      </c>
      <c r="I18" s="53" t="s">
        <v>175</v>
      </c>
      <c r="J18" s="52"/>
      <c r="K18" s="52"/>
      <c r="L18" s="52"/>
      <c r="M18" s="52"/>
      <c r="N18" s="53" t="s">
        <v>176</v>
      </c>
      <c r="O18" s="50" t="s">
        <v>64</v>
      </c>
      <c r="P18" s="50" t="s">
        <v>64</v>
      </c>
      <c r="Q18" s="53" t="s">
        <v>177</v>
      </c>
      <c r="R18" s="53" t="s">
        <v>178</v>
      </c>
      <c r="S18" s="52" t="s">
        <v>13</v>
      </c>
      <c r="T18" s="52" t="s">
        <v>13</v>
      </c>
      <c r="U18" s="53" t="s">
        <v>177</v>
      </c>
      <c r="V18" s="56" t="s">
        <v>179</v>
      </c>
      <c r="W18" s="60" t="s">
        <v>13</v>
      </c>
      <c r="X18" s="92" t="s">
        <v>13</v>
      </c>
      <c r="Y18" s="180" t="s">
        <v>177</v>
      </c>
      <c r="Z18" s="181" t="s">
        <v>180</v>
      </c>
      <c r="AA18" s="60" t="s">
        <v>13</v>
      </c>
      <c r="AB18" s="60" t="s">
        <v>13</v>
      </c>
      <c r="AC18" s="56" t="s">
        <v>177</v>
      </c>
      <c r="AD18" s="56" t="s">
        <v>181</v>
      </c>
      <c r="AE18" s="60" t="s">
        <v>13</v>
      </c>
      <c r="AF18" s="60" t="s">
        <v>13</v>
      </c>
      <c r="AG18" s="56" t="s">
        <v>177</v>
      </c>
      <c r="AH18" s="57"/>
      <c r="AI18" s="50"/>
      <c r="AJ18" s="50"/>
      <c r="AK18" s="52"/>
      <c r="AL18" s="52" t="s">
        <v>81</v>
      </c>
      <c r="AM18" s="50" t="s">
        <v>13</v>
      </c>
      <c r="AN18" s="50" t="s">
        <v>13</v>
      </c>
      <c r="AO18" s="53" t="s">
        <v>143</v>
      </c>
      <c r="AP18" s="52" t="s">
        <v>81</v>
      </c>
      <c r="AQ18" s="50" t="s">
        <v>13</v>
      </c>
      <c r="AR18" s="50" t="s">
        <v>13</v>
      </c>
      <c r="AS18" s="53" t="s">
        <v>143</v>
      </c>
      <c r="AT18" s="52"/>
      <c r="AU18" s="53" t="s">
        <v>182</v>
      </c>
      <c r="AV18" s="50" t="s">
        <v>13</v>
      </c>
      <c r="AW18" s="50" t="s">
        <v>13</v>
      </c>
      <c r="AX18" s="53" t="s">
        <v>177</v>
      </c>
      <c r="AY18" s="52"/>
      <c r="AZ18" s="50"/>
      <c r="BA18" s="50"/>
      <c r="BB18" s="52"/>
      <c r="BC18" s="52"/>
      <c r="BD18" s="52"/>
      <c r="BE18" s="52"/>
      <c r="BF18" s="52"/>
      <c r="BG18" s="50" t="s">
        <v>81</v>
      </c>
      <c r="BH18" s="50" t="s">
        <v>13</v>
      </c>
      <c r="BI18" s="50" t="s">
        <v>13</v>
      </c>
      <c r="BJ18" s="53" t="s">
        <v>143</v>
      </c>
      <c r="BK18" s="52"/>
      <c r="BL18" s="52"/>
      <c r="BM18" s="52"/>
    </row>
    <row r="19" spans="1:65" ht="63.95" customHeight="1">
      <c r="A19" s="47" t="s">
        <v>146</v>
      </c>
      <c r="B19" s="48" t="s">
        <v>183</v>
      </c>
      <c r="C19" s="242" t="s">
        <v>56</v>
      </c>
      <c r="D19" s="81" t="s">
        <v>184</v>
      </c>
      <c r="E19" s="111" t="s">
        <v>185</v>
      </c>
      <c r="F19" s="46" t="s">
        <v>160</v>
      </c>
      <c r="G19" s="52">
        <v>1</v>
      </c>
      <c r="H19" s="50" t="s">
        <v>60</v>
      </c>
      <c r="I19" s="168" t="s">
        <v>186</v>
      </c>
      <c r="J19" s="127" t="s">
        <v>162</v>
      </c>
      <c r="K19" s="52"/>
      <c r="L19" s="52"/>
      <c r="M19" s="52"/>
      <c r="N19" s="127" t="s">
        <v>162</v>
      </c>
      <c r="O19" s="50" t="s">
        <v>13</v>
      </c>
      <c r="P19" s="50" t="s">
        <v>13</v>
      </c>
      <c r="Q19" s="53" t="s">
        <v>93</v>
      </c>
      <c r="R19" s="52"/>
      <c r="S19" s="52"/>
      <c r="T19" s="52"/>
      <c r="U19" s="52"/>
      <c r="V19" s="57" t="s">
        <v>81</v>
      </c>
      <c r="W19" s="60" t="s">
        <v>13</v>
      </c>
      <c r="X19" s="256" t="s">
        <v>13</v>
      </c>
      <c r="Y19" s="257" t="s">
        <v>93</v>
      </c>
      <c r="Z19" s="181" t="s">
        <v>187</v>
      </c>
      <c r="AA19" s="60" t="s">
        <v>13</v>
      </c>
      <c r="AB19" s="60" t="s">
        <v>13</v>
      </c>
      <c r="AC19" s="56" t="s">
        <v>143</v>
      </c>
      <c r="AD19" s="56" t="s">
        <v>188</v>
      </c>
      <c r="AE19" s="60"/>
      <c r="AF19" s="60"/>
      <c r="AG19" s="57"/>
      <c r="AH19" s="56" t="s">
        <v>189</v>
      </c>
      <c r="AI19" s="50" t="s">
        <v>13</v>
      </c>
      <c r="AJ19" s="50" t="s">
        <v>13</v>
      </c>
      <c r="AK19" s="53" t="s">
        <v>143</v>
      </c>
      <c r="AL19" s="52" t="s">
        <v>81</v>
      </c>
      <c r="AM19" s="60" t="s">
        <v>13</v>
      </c>
      <c r="AN19" s="60" t="s">
        <v>13</v>
      </c>
      <c r="AO19" s="51" t="s">
        <v>93</v>
      </c>
      <c r="AP19" s="52" t="s">
        <v>81</v>
      </c>
      <c r="AQ19" s="60" t="s">
        <v>13</v>
      </c>
      <c r="AR19" s="60" t="s">
        <v>13</v>
      </c>
      <c r="AS19" s="53" t="s">
        <v>93</v>
      </c>
      <c r="AT19" s="52"/>
      <c r="AU19" s="53" t="s">
        <v>190</v>
      </c>
      <c r="AV19" s="50" t="s">
        <v>13</v>
      </c>
      <c r="AW19" s="50" t="s">
        <v>13</v>
      </c>
      <c r="AX19" s="53" t="s">
        <v>143</v>
      </c>
      <c r="AY19" s="53" t="s">
        <v>191</v>
      </c>
      <c r="AZ19" s="50" t="s">
        <v>13</v>
      </c>
      <c r="BA19" s="50" t="s">
        <v>13</v>
      </c>
      <c r="BB19" s="53" t="s">
        <v>143</v>
      </c>
      <c r="BC19" s="53"/>
      <c r="BD19" s="52"/>
      <c r="BE19" s="52"/>
      <c r="BF19" s="52"/>
      <c r="BG19" s="53" t="s">
        <v>168</v>
      </c>
      <c r="BH19" s="50" t="s">
        <v>13</v>
      </c>
      <c r="BI19" s="50" t="s">
        <v>13</v>
      </c>
      <c r="BJ19" s="53" t="s">
        <v>93</v>
      </c>
      <c r="BK19" s="53" t="s">
        <v>169</v>
      </c>
      <c r="BL19" s="52" t="s">
        <v>192</v>
      </c>
      <c r="BM19" s="52"/>
    </row>
    <row r="20" spans="1:65" ht="63.95" customHeight="1">
      <c r="A20" s="47" t="s">
        <v>193</v>
      </c>
      <c r="B20" s="107" t="s">
        <v>194</v>
      </c>
      <c r="C20" s="48" t="s">
        <v>56</v>
      </c>
      <c r="D20" s="69" t="s">
        <v>195</v>
      </c>
      <c r="E20" s="76" t="s">
        <v>196</v>
      </c>
      <c r="F20" s="46" t="s">
        <v>137</v>
      </c>
      <c r="G20" s="52">
        <v>11</v>
      </c>
      <c r="H20" s="50" t="s">
        <v>60</v>
      </c>
      <c r="I20" s="53" t="s">
        <v>197</v>
      </c>
      <c r="J20" s="53" t="s">
        <v>198</v>
      </c>
      <c r="K20" s="50"/>
      <c r="L20" s="50"/>
      <c r="M20" s="52"/>
      <c r="N20" s="53" t="s">
        <v>199</v>
      </c>
      <c r="O20" s="50" t="s">
        <v>13</v>
      </c>
      <c r="P20" s="50" t="s">
        <v>13</v>
      </c>
      <c r="Q20" s="53" t="s">
        <v>93</v>
      </c>
      <c r="R20" s="53" t="s">
        <v>200</v>
      </c>
      <c r="S20" s="52" t="s">
        <v>13</v>
      </c>
      <c r="T20" s="52" t="s">
        <v>13</v>
      </c>
      <c r="U20" s="53" t="s">
        <v>93</v>
      </c>
      <c r="V20" s="56" t="s">
        <v>200</v>
      </c>
      <c r="W20" s="60" t="s">
        <v>13</v>
      </c>
      <c r="X20" s="60" t="s">
        <v>13</v>
      </c>
      <c r="Y20" s="248" t="s">
        <v>93</v>
      </c>
      <c r="Z20" s="56" t="s">
        <v>201</v>
      </c>
      <c r="AA20" s="60" t="s">
        <v>13</v>
      </c>
      <c r="AB20" s="60" t="s">
        <v>13</v>
      </c>
      <c r="AC20" s="56" t="s">
        <v>202</v>
      </c>
      <c r="AD20" s="56" t="s">
        <v>203</v>
      </c>
      <c r="AE20" s="60" t="s">
        <v>13</v>
      </c>
      <c r="AF20" s="60" t="s">
        <v>13</v>
      </c>
      <c r="AG20" s="56" t="s">
        <v>93</v>
      </c>
      <c r="AH20" s="57"/>
      <c r="AI20" s="52"/>
      <c r="AJ20" s="52"/>
      <c r="AK20" s="52"/>
      <c r="AL20" s="52" t="s">
        <v>204</v>
      </c>
      <c r="AM20" s="50" t="s">
        <v>13</v>
      </c>
      <c r="AN20" s="50" t="s">
        <v>13</v>
      </c>
      <c r="AO20" s="53" t="s">
        <v>205</v>
      </c>
      <c r="AP20" s="52" t="s">
        <v>81</v>
      </c>
      <c r="AQ20" s="50" t="s">
        <v>13</v>
      </c>
      <c r="AR20" s="50" t="s">
        <v>13</v>
      </c>
      <c r="AS20" s="53" t="s">
        <v>93</v>
      </c>
      <c r="AT20" s="52"/>
      <c r="AU20" s="53" t="s">
        <v>206</v>
      </c>
      <c r="AV20" s="50" t="s">
        <v>13</v>
      </c>
      <c r="AW20" s="50" t="s">
        <v>13</v>
      </c>
      <c r="AX20" s="53" t="s">
        <v>93</v>
      </c>
      <c r="AY20" s="52"/>
      <c r="AZ20" s="52"/>
      <c r="BA20" s="52"/>
      <c r="BB20" s="52"/>
      <c r="BC20" s="52"/>
      <c r="BD20" s="52"/>
      <c r="BE20" s="52"/>
      <c r="BF20" s="52"/>
      <c r="BG20" s="52" t="s">
        <v>81</v>
      </c>
      <c r="BH20" s="50" t="s">
        <v>13</v>
      </c>
      <c r="BI20" s="50" t="s">
        <v>13</v>
      </c>
      <c r="BJ20" s="52" t="s">
        <v>207</v>
      </c>
      <c r="BK20" s="52"/>
      <c r="BL20" s="52"/>
      <c r="BM20" s="52"/>
    </row>
    <row r="21" spans="1:65" ht="63.95" customHeight="1">
      <c r="A21" s="47" t="s">
        <v>208</v>
      </c>
      <c r="B21" s="48" t="s">
        <v>209</v>
      </c>
      <c r="C21" s="48" t="s">
        <v>56</v>
      </c>
      <c r="D21" s="69" t="s">
        <v>210</v>
      </c>
      <c r="E21" s="76" t="s">
        <v>211</v>
      </c>
      <c r="F21" s="46" t="s">
        <v>137</v>
      </c>
      <c r="G21" s="52">
        <v>2</v>
      </c>
      <c r="H21" s="50" t="s">
        <v>60</v>
      </c>
      <c r="I21" s="53" t="s">
        <v>197</v>
      </c>
      <c r="J21" s="53" t="s">
        <v>212</v>
      </c>
      <c r="K21" s="50"/>
      <c r="L21" s="50"/>
      <c r="M21" s="52"/>
      <c r="N21" s="53" t="s">
        <v>213</v>
      </c>
      <c r="O21" s="50" t="s">
        <v>64</v>
      </c>
      <c r="P21" s="50" t="s">
        <v>64</v>
      </c>
      <c r="Q21" s="53" t="s">
        <v>177</v>
      </c>
      <c r="R21" s="52"/>
      <c r="S21" s="52"/>
      <c r="T21" s="52"/>
      <c r="U21" s="52"/>
      <c r="V21" s="56" t="s">
        <v>200</v>
      </c>
      <c r="W21" s="60" t="s">
        <v>13</v>
      </c>
      <c r="X21" s="92" t="s">
        <v>13</v>
      </c>
      <c r="Y21" s="56" t="s">
        <v>177</v>
      </c>
      <c r="Z21" s="56" t="s">
        <v>214</v>
      </c>
      <c r="AA21" s="60" t="s">
        <v>13</v>
      </c>
      <c r="AB21" s="60" t="s">
        <v>13</v>
      </c>
      <c r="AC21" s="56" t="s">
        <v>177</v>
      </c>
      <c r="AD21" s="56" t="s">
        <v>215</v>
      </c>
      <c r="AE21" s="60" t="s">
        <v>13</v>
      </c>
      <c r="AF21" s="60" t="s">
        <v>13</v>
      </c>
      <c r="AG21" s="56" t="s">
        <v>177</v>
      </c>
      <c r="AH21" s="57"/>
      <c r="AI21" s="52"/>
      <c r="AJ21" s="52"/>
      <c r="AK21" s="52"/>
      <c r="AL21" s="52" t="s">
        <v>204</v>
      </c>
      <c r="AM21" s="50" t="s">
        <v>13</v>
      </c>
      <c r="AN21" s="50" t="s">
        <v>13</v>
      </c>
      <c r="AO21" s="53" t="s">
        <v>143</v>
      </c>
      <c r="AP21" s="52" t="s">
        <v>204</v>
      </c>
      <c r="AQ21" s="50" t="s">
        <v>13</v>
      </c>
      <c r="AR21" s="50" t="s">
        <v>13</v>
      </c>
      <c r="AS21" s="53" t="s">
        <v>143</v>
      </c>
      <c r="AT21" s="52"/>
      <c r="AU21" s="53" t="s">
        <v>206</v>
      </c>
      <c r="AV21" s="50" t="s">
        <v>13</v>
      </c>
      <c r="AW21" s="50" t="s">
        <v>13</v>
      </c>
      <c r="AX21" s="53" t="s">
        <v>177</v>
      </c>
      <c r="AY21" s="52"/>
      <c r="AZ21" s="52"/>
      <c r="BA21" s="52"/>
      <c r="BB21" s="52"/>
      <c r="BC21" s="52"/>
      <c r="BD21" s="52"/>
      <c r="BE21" s="52"/>
      <c r="BF21" s="52"/>
      <c r="BG21" s="52" t="s">
        <v>81</v>
      </c>
      <c r="BH21" s="50" t="s">
        <v>13</v>
      </c>
      <c r="BI21" s="50" t="s">
        <v>13</v>
      </c>
      <c r="BJ21" s="53" t="s">
        <v>143</v>
      </c>
      <c r="BK21" s="52"/>
      <c r="BL21" s="52"/>
      <c r="BM21" s="52"/>
    </row>
    <row r="22" spans="1:65" ht="63.95" customHeight="1">
      <c r="A22" s="47" t="s">
        <v>146</v>
      </c>
      <c r="B22" s="106" t="s">
        <v>216</v>
      </c>
      <c r="C22" s="48" t="s">
        <v>56</v>
      </c>
      <c r="D22" s="69"/>
      <c r="E22" s="76" t="s">
        <v>217</v>
      </c>
      <c r="F22" s="46" t="s">
        <v>218</v>
      </c>
      <c r="G22" s="52">
        <v>10</v>
      </c>
      <c r="H22" s="50" t="s">
        <v>60</v>
      </c>
      <c r="I22" s="53" t="s">
        <v>219</v>
      </c>
      <c r="J22" s="52"/>
      <c r="K22" s="50"/>
      <c r="L22" s="50"/>
      <c r="M22" s="52"/>
      <c r="N22" s="52"/>
      <c r="O22" s="50"/>
      <c r="P22" s="50"/>
      <c r="Q22" s="52"/>
      <c r="R22" s="52"/>
      <c r="S22" s="52"/>
      <c r="T22" s="52"/>
      <c r="U22" s="52"/>
      <c r="V22" s="57" t="s">
        <v>81</v>
      </c>
      <c r="W22" s="60" t="s">
        <v>13</v>
      </c>
      <c r="X22" s="60" t="s">
        <v>13</v>
      </c>
      <c r="Y22" s="56" t="s">
        <v>110</v>
      </c>
      <c r="Z22" s="57"/>
      <c r="AA22" s="57"/>
      <c r="AB22" s="57"/>
      <c r="AC22" s="57"/>
      <c r="AD22" s="57"/>
      <c r="AE22" s="60"/>
      <c r="AF22" s="60"/>
      <c r="AG22" s="57"/>
      <c r="AH22" s="57"/>
      <c r="AI22" s="52"/>
      <c r="AJ22" s="52"/>
      <c r="AK22" s="52"/>
      <c r="AL22" s="52" t="s">
        <v>204</v>
      </c>
      <c r="AM22" s="50" t="s">
        <v>13</v>
      </c>
      <c r="AN22" s="50" t="s">
        <v>13</v>
      </c>
      <c r="AO22" s="53" t="s">
        <v>220</v>
      </c>
      <c r="AP22" s="52" t="s">
        <v>204</v>
      </c>
      <c r="AQ22" s="50" t="s">
        <v>14</v>
      </c>
      <c r="AR22" s="50" t="s">
        <v>221</v>
      </c>
      <c r="AS22" s="52" t="s">
        <v>222</v>
      </c>
      <c r="AT22" s="52"/>
      <c r="AU22" s="52"/>
      <c r="AV22" s="50"/>
      <c r="AW22" s="50"/>
      <c r="AX22" s="52"/>
      <c r="AY22" s="52"/>
      <c r="AZ22" s="52"/>
      <c r="BA22" s="52"/>
      <c r="BB22" s="52"/>
      <c r="BC22" s="52"/>
      <c r="BD22" s="52"/>
      <c r="BE22" s="52"/>
      <c r="BF22" s="52"/>
      <c r="BG22" s="52" t="s">
        <v>81</v>
      </c>
      <c r="BH22" s="50" t="s">
        <v>13</v>
      </c>
      <c r="BI22" s="50" t="s">
        <v>13</v>
      </c>
      <c r="BJ22" s="53" t="s">
        <v>110</v>
      </c>
      <c r="BK22" s="52"/>
      <c r="BL22" s="52"/>
      <c r="BM22" s="52"/>
    </row>
    <row r="23" spans="1:65" ht="63.95" customHeight="1">
      <c r="A23" s="47" t="s">
        <v>146</v>
      </c>
      <c r="B23" s="107" t="s">
        <v>223</v>
      </c>
      <c r="C23" s="48" t="s">
        <v>56</v>
      </c>
      <c r="D23" s="69"/>
      <c r="E23" s="76" t="s">
        <v>224</v>
      </c>
      <c r="F23" s="46" t="s">
        <v>218</v>
      </c>
      <c r="G23" s="52">
        <v>15</v>
      </c>
      <c r="H23" s="50" t="s">
        <v>60</v>
      </c>
      <c r="I23" s="53" t="s">
        <v>225</v>
      </c>
      <c r="J23" s="52"/>
      <c r="K23" s="50"/>
      <c r="L23" s="50"/>
      <c r="M23" s="52"/>
      <c r="N23" s="52"/>
      <c r="O23" s="50"/>
      <c r="P23" s="50"/>
      <c r="Q23" s="52"/>
      <c r="R23" s="52"/>
      <c r="S23" s="52"/>
      <c r="T23" s="52"/>
      <c r="U23" s="52"/>
      <c r="V23" s="57" t="s">
        <v>81</v>
      </c>
      <c r="W23" s="60" t="s">
        <v>13</v>
      </c>
      <c r="X23" s="60" t="s">
        <v>13</v>
      </c>
      <c r="Y23" s="239" t="s">
        <v>93</v>
      </c>
      <c r="Z23" s="57"/>
      <c r="AA23" s="57"/>
      <c r="AB23" s="57"/>
      <c r="AC23" s="57"/>
      <c r="AD23" s="57"/>
      <c r="AE23" s="60"/>
      <c r="AF23" s="60"/>
      <c r="AG23" s="57"/>
      <c r="AH23" s="57"/>
      <c r="AI23" s="52"/>
      <c r="AJ23" s="52"/>
      <c r="AK23" s="52"/>
      <c r="AL23" s="52" t="s">
        <v>204</v>
      </c>
      <c r="AM23" s="50" t="s">
        <v>13</v>
      </c>
      <c r="AN23" s="50" t="s">
        <v>13</v>
      </c>
      <c r="AO23" s="53" t="s">
        <v>205</v>
      </c>
      <c r="AP23" s="52" t="s">
        <v>204</v>
      </c>
      <c r="AQ23" s="50" t="s">
        <v>226</v>
      </c>
      <c r="AR23" s="50" t="s">
        <v>221</v>
      </c>
      <c r="AS23" s="52" t="s">
        <v>222</v>
      </c>
      <c r="AT23" s="52"/>
      <c r="AU23" s="52"/>
      <c r="AV23" s="50"/>
      <c r="AW23" s="50"/>
      <c r="AX23" s="52"/>
      <c r="AY23" s="52"/>
      <c r="AZ23" s="52"/>
      <c r="BA23" s="52"/>
      <c r="BB23" s="52"/>
      <c r="BC23" s="52"/>
      <c r="BD23" s="52"/>
      <c r="BE23" s="52"/>
      <c r="BF23" s="52"/>
      <c r="BG23" s="52" t="s">
        <v>81</v>
      </c>
      <c r="BH23" s="50" t="s">
        <v>13</v>
      </c>
      <c r="BI23" s="50" t="s">
        <v>13</v>
      </c>
      <c r="BJ23" s="53" t="s">
        <v>93</v>
      </c>
      <c r="BK23" s="52"/>
      <c r="BL23" s="52"/>
      <c r="BM23" s="52"/>
    </row>
    <row r="24" spans="1:65" ht="63.95" customHeight="1">
      <c r="A24" s="47" t="s">
        <v>146</v>
      </c>
      <c r="B24" s="175" t="s">
        <v>227</v>
      </c>
      <c r="C24" s="173" t="s">
        <v>68</v>
      </c>
      <c r="D24" s="81" t="s">
        <v>228</v>
      </c>
      <c r="E24" s="76" t="s">
        <v>229</v>
      </c>
      <c r="F24" s="46" t="s">
        <v>87</v>
      </c>
      <c r="G24" s="52">
        <v>5</v>
      </c>
      <c r="H24" s="50" t="s">
        <v>60</v>
      </c>
      <c r="I24" s="53" t="s">
        <v>230</v>
      </c>
      <c r="J24" s="53" t="s">
        <v>231</v>
      </c>
      <c r="K24" s="50" t="s">
        <v>13</v>
      </c>
      <c r="L24" s="50" t="s">
        <v>13</v>
      </c>
      <c r="M24" s="53" t="s">
        <v>74</v>
      </c>
      <c r="N24" s="53" t="s">
        <v>232</v>
      </c>
      <c r="O24" s="50" t="s">
        <v>13</v>
      </c>
      <c r="P24" s="50" t="s">
        <v>13</v>
      </c>
      <c r="Q24" s="53" t="s">
        <v>152</v>
      </c>
      <c r="R24" s="52"/>
      <c r="S24" s="52"/>
      <c r="T24" s="52"/>
      <c r="U24" s="52"/>
      <c r="V24" s="57" t="s">
        <v>81</v>
      </c>
      <c r="W24" s="60" t="s">
        <v>13</v>
      </c>
      <c r="X24" s="60" t="s">
        <v>13</v>
      </c>
      <c r="Y24" s="180" t="s">
        <v>152</v>
      </c>
      <c r="Z24" s="181" t="s">
        <v>233</v>
      </c>
      <c r="AA24" s="60" t="s">
        <v>13</v>
      </c>
      <c r="AB24" s="60" t="s">
        <v>13</v>
      </c>
      <c r="AC24" s="56" t="s">
        <v>152</v>
      </c>
      <c r="AD24" s="128" t="s">
        <v>234</v>
      </c>
      <c r="AE24" s="60"/>
      <c r="AF24" s="60"/>
      <c r="AG24" s="57"/>
      <c r="AH24" s="128" t="s">
        <v>234</v>
      </c>
      <c r="AI24" s="50" t="s">
        <v>13</v>
      </c>
      <c r="AJ24" s="50" t="s">
        <v>13</v>
      </c>
      <c r="AK24" s="53" t="s">
        <v>152</v>
      </c>
      <c r="AL24" s="52" t="s">
        <v>81</v>
      </c>
      <c r="AM24" s="50" t="s">
        <v>13</v>
      </c>
      <c r="AN24" s="50" t="s">
        <v>13</v>
      </c>
      <c r="AO24" s="53" t="s">
        <v>152</v>
      </c>
      <c r="AP24" s="52" t="s">
        <v>81</v>
      </c>
      <c r="AQ24" s="60" t="s">
        <v>13</v>
      </c>
      <c r="AR24" s="60" t="s">
        <v>13</v>
      </c>
      <c r="AS24" s="53" t="s">
        <v>152</v>
      </c>
      <c r="AT24" s="52"/>
      <c r="AU24" s="53" t="s">
        <v>235</v>
      </c>
      <c r="AV24" s="50" t="s">
        <v>13</v>
      </c>
      <c r="AW24" s="50" t="s">
        <v>13</v>
      </c>
      <c r="AX24" s="53" t="s">
        <v>152</v>
      </c>
      <c r="AY24" s="52"/>
      <c r="AZ24" s="52"/>
      <c r="BA24" s="52"/>
      <c r="BB24" s="52"/>
      <c r="BC24" s="52"/>
      <c r="BD24" s="52"/>
      <c r="BE24" s="52"/>
      <c r="BF24" s="52"/>
      <c r="BG24" s="52" t="s">
        <v>81</v>
      </c>
      <c r="BH24" s="50" t="s">
        <v>13</v>
      </c>
      <c r="BI24" s="50" t="s">
        <v>13</v>
      </c>
      <c r="BJ24" s="53" t="s">
        <v>152</v>
      </c>
      <c r="BK24" s="52"/>
      <c r="BL24" s="52"/>
      <c r="BM24" s="52"/>
    </row>
    <row r="25" spans="1:65" ht="63.95" customHeight="1">
      <c r="A25" s="47" t="s">
        <v>146</v>
      </c>
      <c r="B25" s="48" t="s">
        <v>236</v>
      </c>
      <c r="C25" s="173" t="s">
        <v>68</v>
      </c>
      <c r="D25" s="81" t="s">
        <v>237</v>
      </c>
      <c r="E25" s="76" t="s">
        <v>238</v>
      </c>
      <c r="F25" s="46" t="s">
        <v>87</v>
      </c>
      <c r="G25" s="52">
        <v>9</v>
      </c>
      <c r="H25" s="50" t="s">
        <v>60</v>
      </c>
      <c r="I25" s="53" t="s">
        <v>239</v>
      </c>
      <c r="J25" s="52"/>
      <c r="K25" s="50"/>
      <c r="L25" s="50"/>
      <c r="M25" s="52"/>
      <c r="N25" s="53" t="s">
        <v>240</v>
      </c>
      <c r="O25" s="50" t="s">
        <v>13</v>
      </c>
      <c r="P25" s="50" t="s">
        <v>13</v>
      </c>
      <c r="Q25" s="53" t="s">
        <v>152</v>
      </c>
      <c r="R25" s="52"/>
      <c r="S25" s="52"/>
      <c r="T25" s="52"/>
      <c r="U25" s="52"/>
      <c r="V25" s="57" t="s">
        <v>81</v>
      </c>
      <c r="W25" s="60" t="s">
        <v>13</v>
      </c>
      <c r="X25" s="60" t="s">
        <v>13</v>
      </c>
      <c r="Y25" s="180" t="s">
        <v>152</v>
      </c>
      <c r="Z25" s="181" t="s">
        <v>241</v>
      </c>
      <c r="AA25" s="60" t="s">
        <v>13</v>
      </c>
      <c r="AB25" s="60" t="s">
        <v>13</v>
      </c>
      <c r="AC25" s="56" t="s">
        <v>152</v>
      </c>
      <c r="AD25" s="130" t="s">
        <v>242</v>
      </c>
      <c r="AE25" s="60"/>
      <c r="AF25" s="60"/>
      <c r="AG25" s="57"/>
      <c r="AH25" s="130" t="s">
        <v>242</v>
      </c>
      <c r="AI25" s="50" t="s">
        <v>13</v>
      </c>
      <c r="AJ25" s="50" t="s">
        <v>13</v>
      </c>
      <c r="AK25" s="53" t="s">
        <v>152</v>
      </c>
      <c r="AL25" s="52" t="s">
        <v>81</v>
      </c>
      <c r="AM25" s="50" t="s">
        <v>13</v>
      </c>
      <c r="AN25" s="50" t="s">
        <v>13</v>
      </c>
      <c r="AO25" s="53" t="s">
        <v>152</v>
      </c>
      <c r="AP25" s="52" t="s">
        <v>81</v>
      </c>
      <c r="AQ25" s="60" t="s">
        <v>13</v>
      </c>
      <c r="AR25" s="60" t="s">
        <v>13</v>
      </c>
      <c r="AS25" s="53" t="s">
        <v>152</v>
      </c>
      <c r="AT25" s="52"/>
      <c r="AU25" s="53" t="s">
        <v>243</v>
      </c>
      <c r="AV25" s="50" t="s">
        <v>13</v>
      </c>
      <c r="AW25" s="50" t="s">
        <v>13</v>
      </c>
      <c r="AX25" s="53" t="s">
        <v>152</v>
      </c>
      <c r="AY25" s="52"/>
      <c r="AZ25" s="52"/>
      <c r="BA25" s="52"/>
      <c r="BB25" s="52"/>
      <c r="BC25" s="52"/>
      <c r="BD25" s="52"/>
      <c r="BE25" s="52"/>
      <c r="BF25" s="52"/>
      <c r="BG25" s="52" t="s">
        <v>81</v>
      </c>
      <c r="BH25" s="50" t="s">
        <v>13</v>
      </c>
      <c r="BI25" s="50" t="s">
        <v>13</v>
      </c>
      <c r="BJ25" s="53" t="s">
        <v>152</v>
      </c>
      <c r="BK25" s="52"/>
      <c r="BL25" s="52"/>
      <c r="BM25" s="52"/>
    </row>
    <row r="26" spans="1:65" ht="63.95" customHeight="1">
      <c r="A26" s="47" t="s">
        <v>146</v>
      </c>
      <c r="B26" s="106" t="s">
        <v>244</v>
      </c>
      <c r="C26" s="48" t="s">
        <v>56</v>
      </c>
      <c r="D26" s="81" t="s">
        <v>245</v>
      </c>
      <c r="E26" s="76" t="s">
        <v>246</v>
      </c>
      <c r="F26" s="46" t="s">
        <v>137</v>
      </c>
      <c r="G26" s="52">
        <v>32</v>
      </c>
      <c r="H26" s="50" t="s">
        <v>60</v>
      </c>
      <c r="I26" s="53" t="s">
        <v>247</v>
      </c>
      <c r="J26" s="52"/>
      <c r="K26" s="50"/>
      <c r="L26" s="50"/>
      <c r="M26" s="52"/>
      <c r="N26" s="52"/>
      <c r="O26" s="50"/>
      <c r="P26" s="50"/>
      <c r="Q26" s="52"/>
      <c r="R26" s="52"/>
      <c r="S26" s="52"/>
      <c r="T26" s="52"/>
      <c r="U26" s="52"/>
      <c r="V26" s="57" t="s">
        <v>81</v>
      </c>
      <c r="W26" s="60" t="s">
        <v>13</v>
      </c>
      <c r="X26" s="60" t="s">
        <v>13</v>
      </c>
      <c r="Y26" s="179" t="s">
        <v>248</v>
      </c>
      <c r="Z26" s="56" t="s">
        <v>249</v>
      </c>
      <c r="AA26" s="60" t="s">
        <v>13</v>
      </c>
      <c r="AB26" s="60" t="s">
        <v>13</v>
      </c>
      <c r="AC26" s="56" t="s">
        <v>110</v>
      </c>
      <c r="AD26" s="56" t="s">
        <v>250</v>
      </c>
      <c r="AE26" s="60" t="s">
        <v>13</v>
      </c>
      <c r="AF26" s="60" t="s">
        <v>13</v>
      </c>
      <c r="AG26" s="56" t="s">
        <v>110</v>
      </c>
      <c r="AH26" s="57"/>
      <c r="AI26" s="52"/>
      <c r="AJ26" s="52"/>
      <c r="AK26" s="52"/>
      <c r="AL26" s="52" t="s">
        <v>81</v>
      </c>
      <c r="AM26" s="50" t="s">
        <v>13</v>
      </c>
      <c r="AN26" s="50" t="s">
        <v>13</v>
      </c>
      <c r="AO26" s="53" t="s">
        <v>220</v>
      </c>
      <c r="AP26" s="52" t="s">
        <v>81</v>
      </c>
      <c r="AQ26" s="50" t="s">
        <v>13</v>
      </c>
      <c r="AR26" s="50" t="s">
        <v>13</v>
      </c>
      <c r="AS26" s="53" t="s">
        <v>110</v>
      </c>
      <c r="AT26" s="52"/>
      <c r="AU26" s="53" t="s">
        <v>251</v>
      </c>
      <c r="AV26" s="50" t="s">
        <v>13</v>
      </c>
      <c r="AW26" s="50" t="s">
        <v>13</v>
      </c>
      <c r="AX26" s="53" t="s">
        <v>220</v>
      </c>
      <c r="AY26" s="52"/>
      <c r="AZ26" s="52"/>
      <c r="BA26" s="52"/>
      <c r="BB26" s="52"/>
      <c r="BC26" s="52"/>
      <c r="BD26" s="52"/>
      <c r="BE26" s="52"/>
      <c r="BF26" s="52"/>
      <c r="BG26" s="52" t="s">
        <v>81</v>
      </c>
      <c r="BH26" s="50" t="s">
        <v>13</v>
      </c>
      <c r="BI26" s="50" t="s">
        <v>13</v>
      </c>
      <c r="BJ26" s="53" t="s">
        <v>110</v>
      </c>
      <c r="BK26" s="52"/>
      <c r="BL26" s="52"/>
      <c r="BM26" s="52"/>
    </row>
    <row r="27" spans="1:65" ht="63.95" customHeight="1">
      <c r="A27" s="47" t="s">
        <v>146</v>
      </c>
      <c r="B27" s="48" t="s">
        <v>252</v>
      </c>
      <c r="C27" s="173" t="s">
        <v>68</v>
      </c>
      <c r="D27" s="81">
        <v>944040</v>
      </c>
      <c r="E27" s="76" t="s">
        <v>253</v>
      </c>
      <c r="F27" s="46" t="s">
        <v>87</v>
      </c>
      <c r="G27" s="52">
        <v>2</v>
      </c>
      <c r="H27" s="50" t="s">
        <v>60</v>
      </c>
      <c r="I27" s="53" t="s">
        <v>254</v>
      </c>
      <c r="J27" s="52"/>
      <c r="K27" s="50"/>
      <c r="L27" s="50"/>
      <c r="M27" s="52"/>
      <c r="N27" s="53" t="s">
        <v>240</v>
      </c>
      <c r="O27" s="50" t="s">
        <v>13</v>
      </c>
      <c r="P27" s="50" t="s">
        <v>13</v>
      </c>
      <c r="Q27" s="53" t="s">
        <v>152</v>
      </c>
      <c r="R27" s="52"/>
      <c r="S27" s="52"/>
      <c r="T27" s="52"/>
      <c r="U27" s="52"/>
      <c r="V27" s="57" t="s">
        <v>81</v>
      </c>
      <c r="W27" s="60" t="s">
        <v>13</v>
      </c>
      <c r="X27" s="60" t="s">
        <v>13</v>
      </c>
      <c r="Y27" s="180" t="s">
        <v>152</v>
      </c>
      <c r="Z27" s="181" t="s">
        <v>255</v>
      </c>
      <c r="AA27" s="60" t="s">
        <v>13</v>
      </c>
      <c r="AB27" s="60" t="s">
        <v>13</v>
      </c>
      <c r="AC27" s="56" t="s">
        <v>152</v>
      </c>
      <c r="AD27" s="129" t="s">
        <v>256</v>
      </c>
      <c r="AE27" s="60"/>
      <c r="AF27" s="60"/>
      <c r="AG27" s="57"/>
      <c r="AH27" s="129" t="s">
        <v>256</v>
      </c>
      <c r="AI27" s="50" t="s">
        <v>13</v>
      </c>
      <c r="AJ27" s="50" t="s">
        <v>13</v>
      </c>
      <c r="AK27" s="53" t="s">
        <v>152</v>
      </c>
      <c r="AL27" s="52" t="s">
        <v>204</v>
      </c>
      <c r="AM27" s="50" t="s">
        <v>13</v>
      </c>
      <c r="AN27" s="50" t="s">
        <v>13</v>
      </c>
      <c r="AO27" s="53" t="s">
        <v>152</v>
      </c>
      <c r="AP27" s="52" t="s">
        <v>204</v>
      </c>
      <c r="AQ27" s="60" t="s">
        <v>13</v>
      </c>
      <c r="AR27" s="60" t="s">
        <v>13</v>
      </c>
      <c r="AS27" s="53" t="s">
        <v>152</v>
      </c>
      <c r="AT27" s="52"/>
      <c r="AU27" s="53" t="s">
        <v>257</v>
      </c>
      <c r="AV27" s="50" t="s">
        <v>13</v>
      </c>
      <c r="AW27" s="50" t="s">
        <v>13</v>
      </c>
      <c r="AX27" s="53" t="s">
        <v>152</v>
      </c>
      <c r="AY27" s="52"/>
      <c r="AZ27" s="52"/>
      <c r="BA27" s="52"/>
      <c r="BB27" s="52"/>
      <c r="BC27" s="52"/>
      <c r="BD27" s="52"/>
      <c r="BE27" s="52"/>
      <c r="BF27" s="52"/>
      <c r="BG27" s="52" t="s">
        <v>81</v>
      </c>
      <c r="BH27" s="50" t="s">
        <v>13</v>
      </c>
      <c r="BI27" s="50" t="s">
        <v>13</v>
      </c>
      <c r="BJ27" s="53" t="s">
        <v>152</v>
      </c>
      <c r="BK27" s="52"/>
      <c r="BL27" s="52"/>
      <c r="BM27" s="52"/>
    </row>
    <row r="28" spans="1:65" ht="63.95" customHeight="1">
      <c r="A28" s="47" t="s">
        <v>146</v>
      </c>
      <c r="B28" s="48" t="s">
        <v>258</v>
      </c>
      <c r="C28" s="48" t="s">
        <v>56</v>
      </c>
      <c r="D28" s="69" t="s">
        <v>259</v>
      </c>
      <c r="E28" s="76" t="s">
        <v>260</v>
      </c>
      <c r="F28" s="46" t="s">
        <v>137</v>
      </c>
      <c r="G28" s="52">
        <v>2</v>
      </c>
      <c r="H28" s="50" t="s">
        <v>60</v>
      </c>
      <c r="I28" s="53" t="s">
        <v>261</v>
      </c>
      <c r="J28" s="53" t="s">
        <v>262</v>
      </c>
      <c r="K28" s="50"/>
      <c r="L28" s="50"/>
      <c r="M28" s="52"/>
      <c r="N28" s="53" t="s">
        <v>263</v>
      </c>
      <c r="O28" s="50" t="s">
        <v>64</v>
      </c>
      <c r="P28" s="50" t="s">
        <v>64</v>
      </c>
      <c r="Q28" s="53" t="s">
        <v>177</v>
      </c>
      <c r="R28" s="52"/>
      <c r="S28" s="52"/>
      <c r="T28" s="52"/>
      <c r="U28" s="52"/>
      <c r="V28" s="56" t="s">
        <v>264</v>
      </c>
      <c r="W28" s="60" t="s">
        <v>13</v>
      </c>
      <c r="X28" s="92" t="s">
        <v>13</v>
      </c>
      <c r="Y28" s="248" t="s">
        <v>177</v>
      </c>
      <c r="Z28" s="56" t="s">
        <v>214</v>
      </c>
      <c r="AA28" s="60" t="s">
        <v>13</v>
      </c>
      <c r="AB28" s="60" t="s">
        <v>13</v>
      </c>
      <c r="AC28" s="56" t="s">
        <v>177</v>
      </c>
      <c r="AD28" s="56" t="s">
        <v>265</v>
      </c>
      <c r="AE28" s="60" t="s">
        <v>13</v>
      </c>
      <c r="AF28" s="60" t="s">
        <v>13</v>
      </c>
      <c r="AG28" s="56" t="s">
        <v>177</v>
      </c>
      <c r="AH28" s="57"/>
      <c r="AI28" s="52"/>
      <c r="AJ28" s="52"/>
      <c r="AK28" s="52"/>
      <c r="AL28" s="52" t="s">
        <v>81</v>
      </c>
      <c r="AM28" s="50" t="s">
        <v>13</v>
      </c>
      <c r="AN28" s="50" t="s">
        <v>13</v>
      </c>
      <c r="AO28" s="53" t="s">
        <v>143</v>
      </c>
      <c r="AP28" s="52" t="s">
        <v>81</v>
      </c>
      <c r="AQ28" s="50" t="s">
        <v>13</v>
      </c>
      <c r="AR28" s="50" t="s">
        <v>13</v>
      </c>
      <c r="AS28" s="53" t="s">
        <v>177</v>
      </c>
      <c r="AT28" s="52"/>
      <c r="AU28" s="53" t="s">
        <v>266</v>
      </c>
      <c r="AV28" s="50" t="s">
        <v>13</v>
      </c>
      <c r="AW28" s="50" t="s">
        <v>13</v>
      </c>
      <c r="AX28" s="53" t="s">
        <v>177</v>
      </c>
      <c r="AY28" s="52"/>
      <c r="AZ28" s="52"/>
      <c r="BA28" s="52"/>
      <c r="BB28" s="52"/>
      <c r="BC28" s="52"/>
      <c r="BD28" s="52"/>
      <c r="BE28" s="52"/>
      <c r="BF28" s="52"/>
      <c r="BG28" s="52" t="s">
        <v>81</v>
      </c>
      <c r="BH28" s="50" t="s">
        <v>13</v>
      </c>
      <c r="BI28" s="50" t="s">
        <v>13</v>
      </c>
      <c r="BJ28" s="53" t="s">
        <v>267</v>
      </c>
      <c r="BK28" s="52" t="s">
        <v>268</v>
      </c>
      <c r="BL28" s="52"/>
      <c r="BM28" s="52"/>
    </row>
    <row r="29" spans="1:65" ht="89.25" customHeight="1">
      <c r="A29" s="47" t="s">
        <v>146</v>
      </c>
      <c r="B29" s="165" t="s">
        <v>269</v>
      </c>
      <c r="C29" s="48" t="s">
        <v>68</v>
      </c>
      <c r="D29" s="81" t="s">
        <v>270</v>
      </c>
      <c r="E29" s="76" t="s">
        <v>271</v>
      </c>
      <c r="F29" s="46" t="s">
        <v>87</v>
      </c>
      <c r="G29" s="52">
        <v>6</v>
      </c>
      <c r="H29" s="50" t="s">
        <v>60</v>
      </c>
      <c r="I29" s="53" t="s">
        <v>272</v>
      </c>
      <c r="J29" s="52"/>
      <c r="K29" s="50"/>
      <c r="L29" s="50"/>
      <c r="M29" s="52"/>
      <c r="N29" s="53" t="s">
        <v>151</v>
      </c>
      <c r="O29" s="50" t="s">
        <v>13</v>
      </c>
      <c r="P29" s="50" t="s">
        <v>13</v>
      </c>
      <c r="Q29" s="53" t="s">
        <v>110</v>
      </c>
      <c r="R29" s="52"/>
      <c r="S29" s="52"/>
      <c r="T29" s="52"/>
      <c r="U29" s="52"/>
      <c r="V29" s="57" t="s">
        <v>81</v>
      </c>
      <c r="W29" s="60" t="s">
        <v>13</v>
      </c>
      <c r="X29" s="60" t="s">
        <v>13</v>
      </c>
      <c r="Y29" s="56" t="s">
        <v>110</v>
      </c>
      <c r="Z29" s="56" t="s">
        <v>273</v>
      </c>
      <c r="AA29" s="60" t="s">
        <v>13</v>
      </c>
      <c r="AB29" s="60" t="s">
        <v>13</v>
      </c>
      <c r="AC29" s="56" t="s">
        <v>110</v>
      </c>
      <c r="AD29" s="124" t="s">
        <v>155</v>
      </c>
      <c r="AE29" s="60"/>
      <c r="AF29" s="60"/>
      <c r="AG29" s="57"/>
      <c r="AH29" s="124" t="s">
        <v>155</v>
      </c>
      <c r="AI29" s="60" t="s">
        <v>64</v>
      </c>
      <c r="AJ29" s="60" t="s">
        <v>64</v>
      </c>
      <c r="AK29" s="53" t="s">
        <v>152</v>
      </c>
      <c r="AL29" s="52" t="s">
        <v>81</v>
      </c>
      <c r="AM29" s="50" t="s">
        <v>13</v>
      </c>
      <c r="AN29" s="50" t="s">
        <v>13</v>
      </c>
      <c r="AO29" s="53" t="s">
        <v>110</v>
      </c>
      <c r="AP29" s="52" t="s">
        <v>81</v>
      </c>
      <c r="AQ29" s="50" t="s">
        <v>13</v>
      </c>
      <c r="AR29" s="50" t="s">
        <v>13</v>
      </c>
      <c r="AS29" s="53" t="s">
        <v>110</v>
      </c>
      <c r="AT29" s="52"/>
      <c r="AU29" s="53" t="s">
        <v>274</v>
      </c>
      <c r="AV29" s="50" t="s">
        <v>13</v>
      </c>
      <c r="AW29" s="50" t="s">
        <v>13</v>
      </c>
      <c r="AX29" s="53" t="s">
        <v>110</v>
      </c>
      <c r="AY29" s="52"/>
      <c r="AZ29" s="52"/>
      <c r="BA29" s="52"/>
      <c r="BB29" s="52"/>
      <c r="BC29" s="52"/>
      <c r="BD29" s="52"/>
      <c r="BE29" s="52"/>
      <c r="BF29" s="52"/>
      <c r="BG29" s="52" t="s">
        <v>81</v>
      </c>
      <c r="BH29" s="50" t="s">
        <v>13</v>
      </c>
      <c r="BI29" s="50" t="s">
        <v>13</v>
      </c>
      <c r="BJ29" s="52" t="s">
        <v>275</v>
      </c>
      <c r="BK29" s="52" t="s">
        <v>276</v>
      </c>
      <c r="BL29" s="52"/>
      <c r="BM29" s="52"/>
    </row>
    <row r="30" spans="1:65" ht="63.95" customHeight="1">
      <c r="A30" s="47" t="s">
        <v>193</v>
      </c>
      <c r="B30" s="106" t="s">
        <v>277</v>
      </c>
      <c r="C30" s="48" t="s">
        <v>68</v>
      </c>
      <c r="D30" s="81" t="s">
        <v>278</v>
      </c>
      <c r="E30" s="76" t="s">
        <v>279</v>
      </c>
      <c r="F30" s="46" t="s">
        <v>280</v>
      </c>
      <c r="G30" s="52">
        <v>4</v>
      </c>
      <c r="H30" s="50" t="s">
        <v>60</v>
      </c>
      <c r="I30" s="53" t="s">
        <v>281</v>
      </c>
      <c r="J30" s="131" t="s">
        <v>282</v>
      </c>
      <c r="K30" s="50"/>
      <c r="L30" s="50"/>
      <c r="M30" s="52"/>
      <c r="N30" s="131" t="s">
        <v>283</v>
      </c>
      <c r="O30" s="50" t="s">
        <v>13</v>
      </c>
      <c r="P30" s="50" t="s">
        <v>13</v>
      </c>
      <c r="Q30" s="53" t="s">
        <v>110</v>
      </c>
      <c r="R30" s="52"/>
      <c r="S30" s="52"/>
      <c r="T30" s="52"/>
      <c r="U30" s="52"/>
      <c r="V30" s="57" t="s">
        <v>81</v>
      </c>
      <c r="W30" s="60" t="s">
        <v>13</v>
      </c>
      <c r="X30" s="60" t="s">
        <v>13</v>
      </c>
      <c r="Y30" s="56" t="s">
        <v>110</v>
      </c>
      <c r="Z30" s="56" t="s">
        <v>284</v>
      </c>
      <c r="AA30" s="60" t="s">
        <v>13</v>
      </c>
      <c r="AB30" s="60" t="s">
        <v>13</v>
      </c>
      <c r="AC30" s="56" t="s">
        <v>110</v>
      </c>
      <c r="AD30" s="56" t="s">
        <v>285</v>
      </c>
      <c r="AE30" s="60" t="s">
        <v>13</v>
      </c>
      <c r="AF30" s="60" t="s">
        <v>13</v>
      </c>
      <c r="AG30" s="56" t="s">
        <v>220</v>
      </c>
      <c r="AH30" s="57"/>
      <c r="AI30" s="52"/>
      <c r="AJ30" s="52"/>
      <c r="AK30" s="52"/>
      <c r="AL30" s="52" t="s">
        <v>81</v>
      </c>
      <c r="AM30" s="50" t="s">
        <v>13</v>
      </c>
      <c r="AN30" s="50" t="s">
        <v>13</v>
      </c>
      <c r="AO30" s="53" t="s">
        <v>220</v>
      </c>
      <c r="AP30" s="52" t="s">
        <v>81</v>
      </c>
      <c r="AQ30" s="50" t="s">
        <v>13</v>
      </c>
      <c r="AR30" s="50" t="s">
        <v>13</v>
      </c>
      <c r="AS30" s="53" t="s">
        <v>286</v>
      </c>
      <c r="AT30" s="52"/>
      <c r="AU30" s="53" t="s">
        <v>287</v>
      </c>
      <c r="AV30" s="50" t="s">
        <v>13</v>
      </c>
      <c r="AW30" s="50" t="s">
        <v>13</v>
      </c>
      <c r="AX30" s="53" t="s">
        <v>220</v>
      </c>
      <c r="AY30" s="52"/>
      <c r="AZ30" s="52"/>
      <c r="BA30" s="52"/>
      <c r="BB30" s="52"/>
      <c r="BC30" s="52"/>
      <c r="BD30" s="52"/>
      <c r="BE30" s="52"/>
      <c r="BF30" s="52"/>
      <c r="BG30" s="52" t="s">
        <v>81</v>
      </c>
      <c r="BH30" s="50" t="s">
        <v>13</v>
      </c>
      <c r="BI30" s="50" t="s">
        <v>13</v>
      </c>
      <c r="BJ30" s="53" t="s">
        <v>286</v>
      </c>
      <c r="BK30" s="52" t="s">
        <v>288</v>
      </c>
      <c r="BL30" s="52"/>
      <c r="BM30" s="52"/>
    </row>
    <row r="31" spans="1:65" ht="63.95" customHeight="1">
      <c r="A31" s="47" t="s">
        <v>146</v>
      </c>
      <c r="B31" s="107" t="s">
        <v>289</v>
      </c>
      <c r="C31" s="48" t="s">
        <v>68</v>
      </c>
      <c r="D31" s="81" t="s">
        <v>290</v>
      </c>
      <c r="E31" s="111" t="s">
        <v>291</v>
      </c>
      <c r="F31" s="46" t="s">
        <v>87</v>
      </c>
      <c r="G31" s="52">
        <v>2</v>
      </c>
      <c r="H31" s="50" t="s">
        <v>60</v>
      </c>
      <c r="I31" s="53" t="s">
        <v>292</v>
      </c>
      <c r="J31" s="52"/>
      <c r="K31" s="50"/>
      <c r="L31" s="50"/>
      <c r="M31" s="52"/>
      <c r="N31" s="53" t="s">
        <v>293</v>
      </c>
      <c r="O31" s="50" t="s">
        <v>13</v>
      </c>
      <c r="P31" s="50" t="s">
        <v>13</v>
      </c>
      <c r="Q31" s="53" t="s">
        <v>93</v>
      </c>
      <c r="R31" s="52"/>
      <c r="S31" s="52"/>
      <c r="T31" s="52"/>
      <c r="U31" s="52"/>
      <c r="V31" s="57" t="s">
        <v>81</v>
      </c>
      <c r="W31" s="60" t="s">
        <v>13</v>
      </c>
      <c r="X31" s="60" t="s">
        <v>13</v>
      </c>
      <c r="Y31" s="56" t="s">
        <v>93</v>
      </c>
      <c r="Z31" s="56" t="s">
        <v>255</v>
      </c>
      <c r="AA31" s="60" t="s">
        <v>13</v>
      </c>
      <c r="AB31" s="60" t="s">
        <v>13</v>
      </c>
      <c r="AC31" s="56" t="s">
        <v>202</v>
      </c>
      <c r="AD31" s="130" t="s">
        <v>242</v>
      </c>
      <c r="AE31" s="60"/>
      <c r="AF31" s="60"/>
      <c r="AG31" s="57"/>
      <c r="AH31" s="130" t="s">
        <v>242</v>
      </c>
      <c r="AI31" s="60" t="s">
        <v>13</v>
      </c>
      <c r="AJ31" s="60" t="s">
        <v>13</v>
      </c>
      <c r="AK31" s="53" t="s">
        <v>93</v>
      </c>
      <c r="AL31" s="52" t="s">
        <v>81</v>
      </c>
      <c r="AM31" s="50" t="s">
        <v>13</v>
      </c>
      <c r="AN31" s="50" t="s">
        <v>13</v>
      </c>
      <c r="AO31" s="53" t="s">
        <v>205</v>
      </c>
      <c r="AP31" s="52" t="s">
        <v>81</v>
      </c>
      <c r="AQ31" s="50" t="s">
        <v>13</v>
      </c>
      <c r="AR31" s="50" t="s">
        <v>13</v>
      </c>
      <c r="AS31" s="53" t="s">
        <v>93</v>
      </c>
      <c r="AT31" s="52"/>
      <c r="AU31" s="53" t="s">
        <v>243</v>
      </c>
      <c r="AV31" s="50" t="s">
        <v>13</v>
      </c>
      <c r="AW31" s="50" t="s">
        <v>13</v>
      </c>
      <c r="AX31" s="53" t="s">
        <v>93</v>
      </c>
      <c r="AY31" s="52"/>
      <c r="AZ31" s="52"/>
      <c r="BA31" s="52"/>
      <c r="BB31" s="52"/>
      <c r="BC31" s="52"/>
      <c r="BD31" s="52"/>
      <c r="BE31" s="52"/>
      <c r="BF31" s="52"/>
      <c r="BG31" s="52" t="s">
        <v>81</v>
      </c>
      <c r="BH31" s="50" t="s">
        <v>13</v>
      </c>
      <c r="BI31" s="50" t="s">
        <v>13</v>
      </c>
      <c r="BJ31" s="53" t="s">
        <v>294</v>
      </c>
      <c r="BK31" s="52">
        <v>3.4</v>
      </c>
      <c r="BL31" s="52"/>
      <c r="BM31" s="52"/>
    </row>
    <row r="32" spans="1:65" s="232" customFormat="1" ht="90" customHeight="1">
      <c r="A32" s="222" t="s">
        <v>295</v>
      </c>
      <c r="B32" s="215" t="s">
        <v>296</v>
      </c>
      <c r="C32" s="215" t="s">
        <v>68</v>
      </c>
      <c r="D32" s="224" t="s">
        <v>297</v>
      </c>
      <c r="E32" s="225" t="s">
        <v>298</v>
      </c>
      <c r="F32" s="226" t="s">
        <v>87</v>
      </c>
      <c r="G32" s="227">
        <v>7</v>
      </c>
      <c r="H32" s="217" t="s">
        <v>60</v>
      </c>
      <c r="I32" s="228" t="s">
        <v>299</v>
      </c>
      <c r="J32" s="228" t="s">
        <v>300</v>
      </c>
      <c r="K32" s="217"/>
      <c r="L32" s="217"/>
      <c r="M32" s="227"/>
      <c r="N32" s="228" t="s">
        <v>301</v>
      </c>
      <c r="O32" s="217"/>
      <c r="P32" s="217" t="s">
        <v>13</v>
      </c>
      <c r="Q32" s="228" t="s">
        <v>110</v>
      </c>
      <c r="R32" s="227"/>
      <c r="S32" s="227"/>
      <c r="T32" s="227"/>
      <c r="U32" s="227"/>
      <c r="V32" s="229" t="s">
        <v>81</v>
      </c>
      <c r="W32" s="219" t="s">
        <v>14</v>
      </c>
      <c r="X32" s="219"/>
      <c r="Y32" s="229"/>
      <c r="Z32" s="230" t="s">
        <v>302</v>
      </c>
      <c r="AA32" s="219" t="s">
        <v>14</v>
      </c>
      <c r="AB32" s="219" t="s">
        <v>13</v>
      </c>
      <c r="AC32" s="230" t="s">
        <v>110</v>
      </c>
      <c r="AD32" s="231" t="s">
        <v>303</v>
      </c>
      <c r="AE32" s="219"/>
      <c r="AF32" s="219"/>
      <c r="AG32" s="229"/>
      <c r="AH32" s="231" t="s">
        <v>303</v>
      </c>
      <c r="AI32" s="219"/>
      <c r="AJ32" s="219" t="s">
        <v>64</v>
      </c>
      <c r="AK32" s="228" t="s">
        <v>152</v>
      </c>
      <c r="AL32" s="227" t="s">
        <v>81</v>
      </c>
      <c r="AM32" s="217" t="s">
        <v>304</v>
      </c>
      <c r="AN32" s="217"/>
      <c r="AO32" s="227" t="s">
        <v>305</v>
      </c>
      <c r="AP32" s="227" t="s">
        <v>81</v>
      </c>
      <c r="AQ32" s="217"/>
      <c r="AR32" s="217"/>
      <c r="AS32" s="227"/>
      <c r="AT32" s="227"/>
      <c r="AU32" s="228" t="s">
        <v>306</v>
      </c>
      <c r="AV32" s="217" t="s">
        <v>14</v>
      </c>
      <c r="AW32" s="217" t="s">
        <v>13</v>
      </c>
      <c r="AX32" s="227" t="s">
        <v>305</v>
      </c>
      <c r="AY32" s="227"/>
      <c r="AZ32" s="227"/>
      <c r="BA32" s="227"/>
      <c r="BB32" s="227"/>
      <c r="BC32" s="227"/>
      <c r="BD32" s="227"/>
      <c r="BE32" s="227"/>
      <c r="BF32" s="227"/>
      <c r="BG32" s="227" t="s">
        <v>81</v>
      </c>
      <c r="BH32" s="217"/>
      <c r="BI32" s="217"/>
      <c r="BJ32" s="227"/>
      <c r="BK32" s="227"/>
      <c r="BL32" s="227"/>
      <c r="BM32" s="227"/>
    </row>
    <row r="33" spans="1:65" ht="63.95" customHeight="1">
      <c r="A33" s="47" t="s">
        <v>193</v>
      </c>
      <c r="B33" s="106" t="s">
        <v>307</v>
      </c>
      <c r="C33" s="48" t="s">
        <v>105</v>
      </c>
      <c r="D33" s="69" t="s">
        <v>308</v>
      </c>
      <c r="E33" s="76" t="s">
        <v>309</v>
      </c>
      <c r="F33" s="46" t="s">
        <v>310</v>
      </c>
      <c r="G33" s="52">
        <v>1</v>
      </c>
      <c r="H33" s="50" t="s">
        <v>60</v>
      </c>
      <c r="I33" s="53" t="s">
        <v>311</v>
      </c>
      <c r="J33" s="131" t="s">
        <v>282</v>
      </c>
      <c r="K33" s="50"/>
      <c r="L33" s="50"/>
      <c r="M33" s="52"/>
      <c r="N33" s="131" t="s">
        <v>283</v>
      </c>
      <c r="O33" s="50" t="s">
        <v>13</v>
      </c>
      <c r="P33" s="50" t="s">
        <v>13</v>
      </c>
      <c r="Q33" s="53" t="s">
        <v>110</v>
      </c>
      <c r="R33" s="52"/>
      <c r="S33" s="52"/>
      <c r="T33" s="52"/>
      <c r="U33" s="52"/>
      <c r="V33" s="57" t="s">
        <v>81</v>
      </c>
      <c r="W33" s="60" t="s">
        <v>13</v>
      </c>
      <c r="X33" s="60" t="s">
        <v>13</v>
      </c>
      <c r="Y33" s="56" t="s">
        <v>110</v>
      </c>
      <c r="Z33" s="56" t="s">
        <v>284</v>
      </c>
      <c r="AA33" s="60" t="s">
        <v>13</v>
      </c>
      <c r="AB33" s="60" t="s">
        <v>13</v>
      </c>
      <c r="AC33" s="56" t="s">
        <v>110</v>
      </c>
      <c r="AD33" s="56" t="s">
        <v>312</v>
      </c>
      <c r="AE33" s="60" t="s">
        <v>13</v>
      </c>
      <c r="AF33" s="60" t="s">
        <v>13</v>
      </c>
      <c r="AG33" s="56" t="s">
        <v>220</v>
      </c>
      <c r="AH33" s="57"/>
      <c r="AI33" s="52"/>
      <c r="AJ33" s="52"/>
      <c r="AK33" s="52"/>
      <c r="AL33" s="52" t="s">
        <v>81</v>
      </c>
      <c r="AM33" s="50" t="s">
        <v>13</v>
      </c>
      <c r="AN33" s="50" t="s">
        <v>13</v>
      </c>
      <c r="AO33" s="53" t="s">
        <v>220</v>
      </c>
      <c r="AP33" s="52" t="s">
        <v>81</v>
      </c>
      <c r="AQ33" s="50" t="s">
        <v>13</v>
      </c>
      <c r="AR33" s="50" t="s">
        <v>13</v>
      </c>
      <c r="AS33" s="53" t="s">
        <v>286</v>
      </c>
      <c r="AT33" s="52"/>
      <c r="AU33" s="53" t="s">
        <v>313</v>
      </c>
      <c r="AV33" s="50" t="s">
        <v>13</v>
      </c>
      <c r="AW33" s="50" t="s">
        <v>13</v>
      </c>
      <c r="AX33" s="53" t="s">
        <v>220</v>
      </c>
      <c r="AY33" s="52"/>
      <c r="AZ33" s="52"/>
      <c r="BA33" s="52"/>
      <c r="BB33" s="52"/>
      <c r="BC33" s="52"/>
      <c r="BD33" s="52"/>
      <c r="BE33" s="52"/>
      <c r="BF33" s="52"/>
      <c r="BG33" s="52" t="s">
        <v>81</v>
      </c>
      <c r="BH33" s="50" t="s">
        <v>13</v>
      </c>
      <c r="BI33" s="50" t="s">
        <v>13</v>
      </c>
      <c r="BJ33" s="53" t="s">
        <v>286</v>
      </c>
      <c r="BK33" s="52"/>
      <c r="BL33" s="52"/>
      <c r="BM33" s="52"/>
    </row>
    <row r="34" spans="1:65" ht="63.95" customHeight="1">
      <c r="A34" s="47" t="s">
        <v>146</v>
      </c>
      <c r="B34" s="107" t="s">
        <v>314</v>
      </c>
      <c r="C34" s="48" t="s">
        <v>56</v>
      </c>
      <c r="D34" s="69" t="s">
        <v>315</v>
      </c>
      <c r="E34" s="111" t="s">
        <v>316</v>
      </c>
      <c r="F34" s="46" t="s">
        <v>137</v>
      </c>
      <c r="G34" s="52">
        <v>3</v>
      </c>
      <c r="H34" s="50" t="s">
        <v>60</v>
      </c>
      <c r="I34" s="53" t="s">
        <v>197</v>
      </c>
      <c r="J34" s="53" t="s">
        <v>262</v>
      </c>
      <c r="K34" s="50"/>
      <c r="L34" s="50"/>
      <c r="M34" s="52"/>
      <c r="N34" s="53" t="s">
        <v>213</v>
      </c>
      <c r="O34" s="50" t="s">
        <v>13</v>
      </c>
      <c r="P34" s="50" t="s">
        <v>13</v>
      </c>
      <c r="Q34" s="53" t="s">
        <v>93</v>
      </c>
      <c r="R34" s="52"/>
      <c r="S34" s="52"/>
      <c r="T34" s="52"/>
      <c r="U34" s="52"/>
      <c r="V34" s="53" t="s">
        <v>200</v>
      </c>
      <c r="W34" s="50" t="s">
        <v>13</v>
      </c>
      <c r="X34" s="50" t="s">
        <v>13</v>
      </c>
      <c r="Y34" s="240" t="s">
        <v>93</v>
      </c>
      <c r="Z34" s="53" t="s">
        <v>317</v>
      </c>
      <c r="AA34" s="60" t="s">
        <v>13</v>
      </c>
      <c r="AB34" s="60" t="s">
        <v>13</v>
      </c>
      <c r="AC34" s="53" t="s">
        <v>202</v>
      </c>
      <c r="AD34" s="53" t="s">
        <v>203</v>
      </c>
      <c r="AE34" s="50" t="s">
        <v>13</v>
      </c>
      <c r="AF34" s="50" t="s">
        <v>13</v>
      </c>
      <c r="AG34" s="53" t="s">
        <v>93</v>
      </c>
      <c r="AH34" s="52"/>
      <c r="AI34" s="52"/>
      <c r="AJ34" s="52"/>
      <c r="AK34" s="52"/>
      <c r="AL34" s="52" t="s">
        <v>81</v>
      </c>
      <c r="AM34" s="50" t="s">
        <v>13</v>
      </c>
      <c r="AN34" s="50" t="s">
        <v>13</v>
      </c>
      <c r="AO34" s="53" t="s">
        <v>205</v>
      </c>
      <c r="AP34" s="52" t="s">
        <v>318</v>
      </c>
      <c r="AQ34" s="50" t="s">
        <v>13</v>
      </c>
      <c r="AR34" s="50" t="s">
        <v>13</v>
      </c>
      <c r="AS34" s="53" t="s">
        <v>93</v>
      </c>
      <c r="AT34" s="52"/>
      <c r="AU34" s="53" t="s">
        <v>266</v>
      </c>
      <c r="AV34" s="50" t="s">
        <v>13</v>
      </c>
      <c r="AW34" s="50" t="s">
        <v>13</v>
      </c>
      <c r="AX34" s="53" t="s">
        <v>93</v>
      </c>
      <c r="AY34" s="52"/>
      <c r="AZ34" s="52"/>
      <c r="BA34" s="52"/>
      <c r="BB34" s="52"/>
      <c r="BC34" s="52"/>
      <c r="BD34" s="52"/>
      <c r="BE34" s="52"/>
      <c r="BF34" s="52"/>
      <c r="BG34" s="52" t="s">
        <v>81</v>
      </c>
      <c r="BH34" s="50" t="s">
        <v>13</v>
      </c>
      <c r="BI34" s="50" t="s">
        <v>13</v>
      </c>
      <c r="BJ34" s="52"/>
      <c r="BK34" s="52"/>
      <c r="BL34" s="52"/>
      <c r="BM34" s="52"/>
    </row>
    <row r="35" spans="1:65" ht="63.95" customHeight="1">
      <c r="A35" s="47" t="s">
        <v>146</v>
      </c>
      <c r="B35" s="48" t="s">
        <v>319</v>
      </c>
      <c r="C35" s="173" t="s">
        <v>68</v>
      </c>
      <c r="D35" s="81" t="s">
        <v>320</v>
      </c>
      <c r="E35" s="76" t="s">
        <v>321</v>
      </c>
      <c r="F35" s="46" t="s">
        <v>87</v>
      </c>
      <c r="G35" s="52">
        <v>2</v>
      </c>
      <c r="H35" s="50" t="s">
        <v>60</v>
      </c>
      <c r="I35" s="53" t="s">
        <v>322</v>
      </c>
      <c r="J35" s="52"/>
      <c r="K35" s="50"/>
      <c r="L35" s="50"/>
      <c r="M35" s="52"/>
      <c r="N35" s="53" t="s">
        <v>232</v>
      </c>
      <c r="O35" s="50" t="s">
        <v>13</v>
      </c>
      <c r="P35" s="50" t="s">
        <v>13</v>
      </c>
      <c r="Q35" s="53" t="s">
        <v>152</v>
      </c>
      <c r="R35" s="52"/>
      <c r="S35" s="52"/>
      <c r="T35" s="52"/>
      <c r="U35" s="52"/>
      <c r="V35" s="52" t="s">
        <v>81</v>
      </c>
      <c r="W35" s="60" t="s">
        <v>13</v>
      </c>
      <c r="X35" s="60" t="s">
        <v>13</v>
      </c>
      <c r="Y35" s="246" t="s">
        <v>152</v>
      </c>
      <c r="Z35" s="182" t="s">
        <v>323</v>
      </c>
      <c r="AA35" s="60" t="s">
        <v>13</v>
      </c>
      <c r="AB35" s="60" t="s">
        <v>13</v>
      </c>
      <c r="AC35" s="56" t="s">
        <v>152</v>
      </c>
      <c r="AD35" s="128" t="s">
        <v>234</v>
      </c>
      <c r="AE35" s="50"/>
      <c r="AF35" s="50"/>
      <c r="AG35" s="52"/>
      <c r="AH35" s="128" t="s">
        <v>234</v>
      </c>
      <c r="AI35" s="50" t="s">
        <v>13</v>
      </c>
      <c r="AJ35" s="50" t="s">
        <v>13</v>
      </c>
      <c r="AK35" s="53" t="s">
        <v>152</v>
      </c>
      <c r="AL35" s="52" t="s">
        <v>81</v>
      </c>
      <c r="AM35" s="50" t="s">
        <v>13</v>
      </c>
      <c r="AN35" s="50" t="s">
        <v>13</v>
      </c>
      <c r="AO35" s="53" t="s">
        <v>152</v>
      </c>
      <c r="AP35" s="52" t="s">
        <v>81</v>
      </c>
      <c r="AQ35" s="60" t="s">
        <v>13</v>
      </c>
      <c r="AR35" s="60" t="s">
        <v>13</v>
      </c>
      <c r="AS35" s="53" t="s">
        <v>152</v>
      </c>
      <c r="AT35" s="52"/>
      <c r="AU35" s="53" t="s">
        <v>235</v>
      </c>
      <c r="AV35" s="50" t="s">
        <v>13</v>
      </c>
      <c r="AW35" s="50" t="s">
        <v>13</v>
      </c>
      <c r="AX35" s="53" t="s">
        <v>152</v>
      </c>
      <c r="AY35" s="52"/>
      <c r="AZ35" s="52"/>
      <c r="BA35" s="52"/>
      <c r="BB35" s="52"/>
      <c r="BC35" s="52"/>
      <c r="BD35" s="52"/>
      <c r="BE35" s="52"/>
      <c r="BF35" s="52"/>
      <c r="BG35" s="52" t="s">
        <v>81</v>
      </c>
      <c r="BH35" s="50" t="s">
        <v>13</v>
      </c>
      <c r="BI35" s="50" t="s">
        <v>13</v>
      </c>
      <c r="BJ35" s="53" t="s">
        <v>152</v>
      </c>
      <c r="BK35" s="52"/>
      <c r="BL35" s="52"/>
      <c r="BM35" s="52"/>
    </row>
    <row r="36" spans="1:65" ht="63.95" customHeight="1">
      <c r="A36" s="47" t="s">
        <v>146</v>
      </c>
      <c r="B36" s="48" t="s">
        <v>324</v>
      </c>
      <c r="C36" s="242" t="s">
        <v>56</v>
      </c>
      <c r="D36" s="69"/>
      <c r="E36" s="76" t="s">
        <v>325</v>
      </c>
      <c r="F36" s="46" t="s">
        <v>218</v>
      </c>
      <c r="G36" s="52">
        <v>5</v>
      </c>
      <c r="H36" s="50" t="s">
        <v>60</v>
      </c>
      <c r="I36" s="53" t="s">
        <v>225</v>
      </c>
      <c r="J36" s="52"/>
      <c r="K36" s="50"/>
      <c r="L36" s="50"/>
      <c r="M36" s="52"/>
      <c r="N36" s="52"/>
      <c r="O36" s="50"/>
      <c r="P36" s="50"/>
      <c r="Q36" s="52"/>
      <c r="R36" s="52"/>
      <c r="S36" s="52"/>
      <c r="T36" s="52"/>
      <c r="U36" s="52"/>
      <c r="V36" s="52" t="s">
        <v>81</v>
      </c>
      <c r="W36" s="60" t="s">
        <v>13</v>
      </c>
      <c r="X36" s="60" t="s">
        <v>13</v>
      </c>
      <c r="Y36" s="250" t="s">
        <v>93</v>
      </c>
      <c r="Z36" s="244"/>
      <c r="AA36" s="50"/>
      <c r="AB36" s="50"/>
      <c r="AC36" s="52"/>
      <c r="AD36" s="52"/>
      <c r="AE36" s="50"/>
      <c r="AF36" s="50"/>
      <c r="AG36" s="52"/>
      <c r="AH36" s="52"/>
      <c r="AI36" s="52"/>
      <c r="AJ36" s="52"/>
      <c r="AK36" s="52"/>
      <c r="AL36" s="52" t="s">
        <v>81</v>
      </c>
      <c r="AM36" s="60" t="s">
        <v>13</v>
      </c>
      <c r="AN36" s="60" t="s">
        <v>13</v>
      </c>
      <c r="AO36" s="51" t="s">
        <v>93</v>
      </c>
      <c r="AP36" s="52" t="s">
        <v>81</v>
      </c>
      <c r="AQ36" s="50" t="s">
        <v>226</v>
      </c>
      <c r="AR36" s="50" t="s">
        <v>221</v>
      </c>
      <c r="AS36" s="52" t="s">
        <v>222</v>
      </c>
      <c r="AT36" s="52"/>
      <c r="AU36" s="52"/>
      <c r="AV36" s="50"/>
      <c r="AW36" s="50"/>
      <c r="AX36" s="52"/>
      <c r="AY36" s="52"/>
      <c r="AZ36" s="52"/>
      <c r="BA36" s="52"/>
      <c r="BB36" s="52"/>
      <c r="BC36" s="52"/>
      <c r="BD36" s="52"/>
      <c r="BE36" s="52"/>
      <c r="BF36" s="52"/>
      <c r="BG36" s="52" t="s">
        <v>81</v>
      </c>
      <c r="BH36" s="50" t="s">
        <v>13</v>
      </c>
      <c r="BI36" s="50" t="s">
        <v>13</v>
      </c>
      <c r="BJ36" s="53" t="s">
        <v>93</v>
      </c>
      <c r="BK36" s="52"/>
      <c r="BL36" s="52"/>
      <c r="BM36" s="52"/>
    </row>
    <row r="37" spans="1:65" ht="63.95" customHeight="1">
      <c r="A37" s="47" t="s">
        <v>146</v>
      </c>
      <c r="B37" s="106" t="s">
        <v>326</v>
      </c>
      <c r="C37" s="47" t="s">
        <v>105</v>
      </c>
      <c r="D37" s="69" t="s">
        <v>327</v>
      </c>
      <c r="E37" s="111" t="s">
        <v>328</v>
      </c>
      <c r="F37" s="46" t="s">
        <v>160</v>
      </c>
      <c r="G37" s="52">
        <v>1</v>
      </c>
      <c r="H37" s="50" t="s">
        <v>60</v>
      </c>
      <c r="I37" s="168" t="s">
        <v>329</v>
      </c>
      <c r="J37" s="127" t="s">
        <v>162</v>
      </c>
      <c r="K37" s="50"/>
      <c r="L37" s="50"/>
      <c r="M37" s="52"/>
      <c r="N37" s="156" t="s">
        <v>163</v>
      </c>
      <c r="O37" s="50" t="s">
        <v>13</v>
      </c>
      <c r="P37" s="50" t="s">
        <v>13</v>
      </c>
      <c r="Q37" s="53" t="s">
        <v>110</v>
      </c>
      <c r="R37" s="52"/>
      <c r="S37" s="52"/>
      <c r="T37" s="52"/>
      <c r="U37" s="52"/>
      <c r="V37" s="52" t="s">
        <v>81</v>
      </c>
      <c r="W37" s="60" t="s">
        <v>13</v>
      </c>
      <c r="X37" s="60" t="s">
        <v>13</v>
      </c>
      <c r="Y37" s="56" t="s">
        <v>110</v>
      </c>
      <c r="Z37" s="53" t="s">
        <v>187</v>
      </c>
      <c r="AA37" s="60" t="s">
        <v>13</v>
      </c>
      <c r="AB37" s="60" t="s">
        <v>13</v>
      </c>
      <c r="AC37" s="56" t="s">
        <v>110</v>
      </c>
      <c r="AD37" s="53" t="s">
        <v>330</v>
      </c>
      <c r="AE37" s="50"/>
      <c r="AF37" s="50"/>
      <c r="AG37" s="52"/>
      <c r="AH37" s="53" t="s">
        <v>165</v>
      </c>
      <c r="AI37" s="50" t="s">
        <v>64</v>
      </c>
      <c r="AJ37" s="50" t="s">
        <v>64</v>
      </c>
      <c r="AK37" s="52"/>
      <c r="AL37" s="52" t="s">
        <v>81</v>
      </c>
      <c r="AM37" s="50" t="s">
        <v>13</v>
      </c>
      <c r="AN37" s="50" t="s">
        <v>13</v>
      </c>
      <c r="AO37" s="53" t="s">
        <v>220</v>
      </c>
      <c r="AP37" s="52" t="s">
        <v>81</v>
      </c>
      <c r="AQ37" s="50" t="s">
        <v>13</v>
      </c>
      <c r="AR37" s="50" t="s">
        <v>13</v>
      </c>
      <c r="AS37" s="53" t="s">
        <v>110</v>
      </c>
      <c r="AT37" s="52"/>
      <c r="AU37" s="53" t="s">
        <v>166</v>
      </c>
      <c r="AV37" s="50" t="s">
        <v>13</v>
      </c>
      <c r="AW37" s="50" t="s">
        <v>13</v>
      </c>
      <c r="AX37" s="53" t="s">
        <v>220</v>
      </c>
      <c r="AY37" s="53" t="s">
        <v>167</v>
      </c>
      <c r="AZ37" s="52" t="s">
        <v>13</v>
      </c>
      <c r="BA37" s="52" t="s">
        <v>13</v>
      </c>
      <c r="BB37" s="53" t="s">
        <v>110</v>
      </c>
      <c r="BC37" s="53" t="s">
        <v>331</v>
      </c>
      <c r="BD37" s="50"/>
      <c r="BE37" s="50"/>
      <c r="BF37" s="52"/>
      <c r="BG37" s="53" t="s">
        <v>168</v>
      </c>
      <c r="BH37" s="50" t="s">
        <v>13</v>
      </c>
      <c r="BI37" s="50" t="s">
        <v>13</v>
      </c>
      <c r="BJ37" s="53" t="s">
        <v>110</v>
      </c>
      <c r="BK37" s="53" t="s">
        <v>332</v>
      </c>
      <c r="BL37" s="52"/>
      <c r="BM37" s="52"/>
    </row>
    <row r="38" spans="1:65" ht="63.95" customHeight="1">
      <c r="A38" s="47" t="s">
        <v>146</v>
      </c>
      <c r="B38" s="107" t="s">
        <v>333</v>
      </c>
      <c r="C38" s="48" t="s">
        <v>68</v>
      </c>
      <c r="D38" s="69" t="s">
        <v>334</v>
      </c>
      <c r="E38" s="76" t="s">
        <v>335</v>
      </c>
      <c r="F38" s="46" t="s">
        <v>336</v>
      </c>
      <c r="G38" s="52">
        <v>6</v>
      </c>
      <c r="H38" s="50" t="s">
        <v>60</v>
      </c>
      <c r="I38" s="53" t="s">
        <v>337</v>
      </c>
      <c r="J38" s="52"/>
      <c r="K38" s="50"/>
      <c r="L38" s="50"/>
      <c r="M38" s="52"/>
      <c r="N38" s="52"/>
      <c r="O38" s="50"/>
      <c r="P38" s="50"/>
      <c r="Q38" s="52"/>
      <c r="R38" s="52"/>
      <c r="S38" s="52"/>
      <c r="T38" s="52"/>
      <c r="U38" s="52"/>
      <c r="V38" s="52" t="s">
        <v>81</v>
      </c>
      <c r="W38" s="50" t="s">
        <v>13</v>
      </c>
      <c r="X38" s="50" t="s">
        <v>13</v>
      </c>
      <c r="Y38" s="53" t="s">
        <v>93</v>
      </c>
      <c r="Z38" s="52"/>
      <c r="AA38" s="50"/>
      <c r="AB38" s="50"/>
      <c r="AC38" s="52"/>
      <c r="AD38" s="52"/>
      <c r="AE38" s="50"/>
      <c r="AF38" s="50"/>
      <c r="AG38" s="52"/>
      <c r="AH38" s="52"/>
      <c r="AI38" s="52"/>
      <c r="AJ38" s="52"/>
      <c r="AK38" s="52"/>
      <c r="AL38" s="52" t="s">
        <v>81</v>
      </c>
      <c r="AM38" s="50" t="s">
        <v>13</v>
      </c>
      <c r="AN38" s="50" t="s">
        <v>13</v>
      </c>
      <c r="AO38" s="53" t="s">
        <v>205</v>
      </c>
      <c r="AP38" s="52" t="s">
        <v>81</v>
      </c>
      <c r="AQ38" s="50" t="s">
        <v>13</v>
      </c>
      <c r="AR38" s="50" t="s">
        <v>13</v>
      </c>
      <c r="AS38" s="53" t="s">
        <v>93</v>
      </c>
      <c r="AT38" s="52"/>
      <c r="AU38" s="52"/>
      <c r="AV38" s="50"/>
      <c r="AW38" s="50"/>
      <c r="AX38" s="52"/>
      <c r="AY38" s="52"/>
      <c r="AZ38" s="52"/>
      <c r="BA38" s="52"/>
      <c r="BB38" s="52"/>
      <c r="BC38" s="52"/>
      <c r="BD38" s="52"/>
      <c r="BE38" s="52"/>
      <c r="BF38" s="52"/>
      <c r="BG38" s="52" t="s">
        <v>81</v>
      </c>
      <c r="BH38" s="50" t="s">
        <v>13</v>
      </c>
      <c r="BI38" s="50" t="s">
        <v>13</v>
      </c>
      <c r="BJ38" s="53" t="s">
        <v>93</v>
      </c>
      <c r="BK38" s="52"/>
      <c r="BL38" s="52"/>
      <c r="BM38" s="52"/>
    </row>
    <row r="39" spans="1:65" ht="63.95" customHeight="1">
      <c r="A39" s="58" t="s">
        <v>193</v>
      </c>
      <c r="B39" s="238" t="s">
        <v>338</v>
      </c>
      <c r="C39" s="82" t="s">
        <v>339</v>
      </c>
      <c r="D39" s="58"/>
      <c r="E39" s="79" t="s">
        <v>340</v>
      </c>
      <c r="F39" s="73" t="s">
        <v>341</v>
      </c>
      <c r="G39" s="52">
        <v>8</v>
      </c>
      <c r="H39" s="50" t="s">
        <v>60</v>
      </c>
      <c r="I39" s="53" t="s">
        <v>342</v>
      </c>
      <c r="J39" s="52"/>
      <c r="K39" s="50"/>
      <c r="L39" s="50"/>
      <c r="M39" s="52"/>
      <c r="N39" s="52"/>
      <c r="O39" s="50"/>
      <c r="P39" s="50"/>
      <c r="Q39" s="52"/>
      <c r="R39" s="52"/>
      <c r="S39" s="52"/>
      <c r="T39" s="52"/>
      <c r="U39" s="52"/>
      <c r="V39" s="52" t="s">
        <v>81</v>
      </c>
      <c r="W39" s="50" t="s">
        <v>13</v>
      </c>
      <c r="X39" s="50" t="s">
        <v>13</v>
      </c>
      <c r="Y39" s="53" t="s">
        <v>93</v>
      </c>
      <c r="Z39" s="52"/>
      <c r="AA39" s="50"/>
      <c r="AB39" s="50"/>
      <c r="AC39" s="52"/>
      <c r="AD39" s="52"/>
      <c r="AE39" s="50"/>
      <c r="AF39" s="50"/>
      <c r="AG39" s="52"/>
      <c r="AH39" s="52"/>
      <c r="AI39" s="52"/>
      <c r="AJ39" s="52"/>
      <c r="AK39" s="52"/>
      <c r="AL39" s="52" t="s">
        <v>81</v>
      </c>
      <c r="AM39" s="50" t="s">
        <v>13</v>
      </c>
      <c r="AN39" s="50" t="s">
        <v>13</v>
      </c>
      <c r="AO39" s="53" t="s">
        <v>205</v>
      </c>
      <c r="AP39" s="52" t="s">
        <v>81</v>
      </c>
      <c r="AQ39" s="50" t="s">
        <v>13</v>
      </c>
      <c r="AR39" s="50" t="s">
        <v>13</v>
      </c>
      <c r="AS39" s="53" t="s">
        <v>93</v>
      </c>
      <c r="AT39" s="52"/>
      <c r="AU39" s="52"/>
      <c r="AV39" s="50"/>
      <c r="AW39" s="50"/>
      <c r="AX39" s="52"/>
      <c r="AY39" s="52"/>
      <c r="AZ39" s="52"/>
      <c r="BA39" s="52"/>
      <c r="BB39" s="52"/>
      <c r="BC39" s="52"/>
      <c r="BD39" s="52"/>
      <c r="BE39" s="52"/>
      <c r="BF39" s="52"/>
      <c r="BG39" s="52" t="s">
        <v>81</v>
      </c>
      <c r="BH39" s="50" t="s">
        <v>13</v>
      </c>
      <c r="BI39" s="50" t="s">
        <v>13</v>
      </c>
      <c r="BJ39" s="53" t="s">
        <v>93</v>
      </c>
      <c r="BK39" s="52"/>
      <c r="BL39" s="52"/>
      <c r="BM39" s="52"/>
    </row>
    <row r="40" spans="1:65" ht="63.95" customHeight="1">
      <c r="A40" s="58" t="s">
        <v>193</v>
      </c>
      <c r="B40" s="238" t="s">
        <v>343</v>
      </c>
      <c r="C40" s="58" t="s">
        <v>56</v>
      </c>
      <c r="D40" s="59" t="s">
        <v>344</v>
      </c>
      <c r="E40" s="79" t="s">
        <v>345</v>
      </c>
      <c r="F40" s="73" t="s">
        <v>346</v>
      </c>
      <c r="G40" s="52">
        <v>8</v>
      </c>
      <c r="H40" s="50" t="s">
        <v>60</v>
      </c>
      <c r="I40" s="53" t="s">
        <v>197</v>
      </c>
      <c r="J40" s="53" t="s">
        <v>262</v>
      </c>
      <c r="K40" s="50"/>
      <c r="L40" s="50"/>
      <c r="M40" s="52"/>
      <c r="N40" s="53" t="s">
        <v>347</v>
      </c>
      <c r="O40" s="50" t="s">
        <v>13</v>
      </c>
      <c r="P40" s="50" t="s">
        <v>13</v>
      </c>
      <c r="Q40" s="53" t="s">
        <v>93</v>
      </c>
      <c r="R40" s="52"/>
      <c r="S40" s="52"/>
      <c r="T40" s="52"/>
      <c r="U40" s="52"/>
      <c r="V40" s="53" t="s">
        <v>264</v>
      </c>
      <c r="W40" s="50" t="s">
        <v>13</v>
      </c>
      <c r="X40" s="50" t="s">
        <v>13</v>
      </c>
      <c r="Y40" s="53" t="s">
        <v>93</v>
      </c>
      <c r="Z40" s="53" t="s">
        <v>201</v>
      </c>
      <c r="AA40" s="50" t="s">
        <v>13</v>
      </c>
      <c r="AB40" s="50" t="s">
        <v>13</v>
      </c>
      <c r="AC40" s="53" t="s">
        <v>93</v>
      </c>
      <c r="AD40" s="53" t="s">
        <v>265</v>
      </c>
      <c r="AE40" s="50" t="s">
        <v>13</v>
      </c>
      <c r="AF40" s="50" t="s">
        <v>13</v>
      </c>
      <c r="AG40" s="53" t="s">
        <v>93</v>
      </c>
      <c r="AH40" s="52" t="s">
        <v>81</v>
      </c>
      <c r="AI40" s="52" t="s">
        <v>13</v>
      </c>
      <c r="AJ40" s="52" t="s">
        <v>13</v>
      </c>
      <c r="AK40" s="53" t="s">
        <v>93</v>
      </c>
      <c r="AL40" s="52" t="s">
        <v>81</v>
      </c>
      <c r="AM40" s="50" t="s">
        <v>13</v>
      </c>
      <c r="AN40" s="50" t="s">
        <v>13</v>
      </c>
      <c r="AO40" s="53" t="s">
        <v>205</v>
      </c>
      <c r="AP40" s="52" t="s">
        <v>81</v>
      </c>
      <c r="AQ40" s="50" t="s">
        <v>13</v>
      </c>
      <c r="AR40" s="50" t="s">
        <v>13</v>
      </c>
      <c r="AS40" s="53" t="s">
        <v>93</v>
      </c>
      <c r="AT40" s="52"/>
      <c r="AU40" s="53" t="s">
        <v>266</v>
      </c>
      <c r="AV40" s="50" t="s">
        <v>13</v>
      </c>
      <c r="AW40" s="50" t="s">
        <v>13</v>
      </c>
      <c r="AX40" s="53" t="s">
        <v>93</v>
      </c>
      <c r="AY40" s="52"/>
      <c r="AZ40" s="52"/>
      <c r="BA40" s="52"/>
      <c r="BB40" s="52"/>
      <c r="BC40" s="52" t="s">
        <v>81</v>
      </c>
      <c r="BD40" s="50"/>
      <c r="BE40" s="50"/>
      <c r="BF40" s="52"/>
      <c r="BG40" s="52" t="s">
        <v>81</v>
      </c>
      <c r="BH40" s="50" t="s">
        <v>13</v>
      </c>
      <c r="BI40" s="50" t="s">
        <v>13</v>
      </c>
      <c r="BJ40" s="52"/>
      <c r="BK40" s="52"/>
      <c r="BL40" s="52"/>
      <c r="BM40" s="52"/>
    </row>
    <row r="41" spans="1:65" ht="63.95" customHeight="1">
      <c r="A41" s="47" t="s">
        <v>146</v>
      </c>
      <c r="B41" s="165" t="s">
        <v>348</v>
      </c>
      <c r="C41" s="47" t="s">
        <v>105</v>
      </c>
      <c r="D41" s="69" t="s">
        <v>349</v>
      </c>
      <c r="E41" s="76" t="s">
        <v>350</v>
      </c>
      <c r="F41" s="46" t="s">
        <v>137</v>
      </c>
      <c r="G41" s="72">
        <v>1</v>
      </c>
      <c r="H41" s="50" t="s">
        <v>60</v>
      </c>
      <c r="I41" s="53" t="s">
        <v>351</v>
      </c>
      <c r="J41" s="53" t="s">
        <v>262</v>
      </c>
      <c r="K41" s="50"/>
      <c r="L41" s="50"/>
      <c r="M41" s="52"/>
      <c r="N41" s="53" t="s">
        <v>199</v>
      </c>
      <c r="O41" s="50" t="s">
        <v>13</v>
      </c>
      <c r="P41" s="50" t="s">
        <v>13</v>
      </c>
      <c r="Q41" s="53" t="s">
        <v>110</v>
      </c>
      <c r="R41" s="53" t="s">
        <v>264</v>
      </c>
      <c r="S41" s="52" t="s">
        <v>13</v>
      </c>
      <c r="T41" s="52" t="s">
        <v>13</v>
      </c>
      <c r="U41" s="53" t="s">
        <v>110</v>
      </c>
      <c r="V41" s="53" t="s">
        <v>200</v>
      </c>
      <c r="W41" s="50" t="s">
        <v>13</v>
      </c>
      <c r="X41" s="50" t="s">
        <v>13</v>
      </c>
      <c r="Y41" s="53" t="s">
        <v>110</v>
      </c>
      <c r="Z41" s="53" t="s">
        <v>201</v>
      </c>
      <c r="AA41" s="50" t="s">
        <v>13</v>
      </c>
      <c r="AB41" s="50" t="s">
        <v>13</v>
      </c>
      <c r="AC41" s="56" t="s">
        <v>110</v>
      </c>
      <c r="AD41" s="53" t="s">
        <v>203</v>
      </c>
      <c r="AE41" s="50" t="s">
        <v>13</v>
      </c>
      <c r="AF41" s="50" t="s">
        <v>13</v>
      </c>
      <c r="AG41" s="53" t="s">
        <v>110</v>
      </c>
      <c r="AH41" s="52"/>
      <c r="AI41" s="52"/>
      <c r="AJ41" s="52"/>
      <c r="AK41" s="52"/>
      <c r="AL41" s="52" t="s">
        <v>81</v>
      </c>
      <c r="AM41" s="50" t="s">
        <v>13</v>
      </c>
      <c r="AN41" s="50" t="s">
        <v>13</v>
      </c>
      <c r="AO41" s="53" t="s">
        <v>110</v>
      </c>
      <c r="AP41" s="52" t="s">
        <v>81</v>
      </c>
      <c r="AQ41" s="50" t="s">
        <v>13</v>
      </c>
      <c r="AR41" s="50" t="s">
        <v>13</v>
      </c>
      <c r="AS41" s="53" t="s">
        <v>110</v>
      </c>
      <c r="AT41" s="52"/>
      <c r="AU41" s="53" t="s">
        <v>266</v>
      </c>
      <c r="AV41" s="50" t="s">
        <v>14</v>
      </c>
      <c r="AW41" s="50" t="s">
        <v>221</v>
      </c>
      <c r="AX41" s="52"/>
      <c r="AY41" s="52"/>
      <c r="AZ41" s="52"/>
      <c r="BA41" s="52"/>
      <c r="BB41" s="52"/>
      <c r="BC41" s="52"/>
      <c r="BD41" s="52"/>
      <c r="BE41" s="52"/>
      <c r="BF41" s="52"/>
      <c r="BG41" s="52" t="s">
        <v>81</v>
      </c>
      <c r="BH41" s="50" t="s">
        <v>13</v>
      </c>
      <c r="BI41" s="50" t="s">
        <v>13</v>
      </c>
      <c r="BJ41" s="52"/>
      <c r="BK41" s="52"/>
      <c r="BL41" s="52"/>
      <c r="BM41" s="52"/>
    </row>
    <row r="42" spans="1:65" ht="63.95" customHeight="1">
      <c r="A42" s="58" t="s">
        <v>193</v>
      </c>
      <c r="B42" s="166" t="s">
        <v>352</v>
      </c>
      <c r="C42" s="58" t="s">
        <v>353</v>
      </c>
      <c r="D42" s="59"/>
      <c r="E42" s="79" t="s">
        <v>354</v>
      </c>
      <c r="F42" s="73" t="s">
        <v>280</v>
      </c>
      <c r="G42" s="52">
        <v>6</v>
      </c>
      <c r="H42" s="50" t="s">
        <v>60</v>
      </c>
      <c r="I42" s="53" t="s">
        <v>281</v>
      </c>
      <c r="J42" s="131" t="s">
        <v>282</v>
      </c>
      <c r="K42" s="50"/>
      <c r="L42" s="50"/>
      <c r="M42" s="52"/>
      <c r="N42" s="131" t="s">
        <v>283</v>
      </c>
      <c r="O42" s="50" t="s">
        <v>13</v>
      </c>
      <c r="P42" s="50" t="s">
        <v>13</v>
      </c>
      <c r="Q42" s="53" t="s">
        <v>110</v>
      </c>
      <c r="R42" s="52"/>
      <c r="S42" s="52"/>
      <c r="T42" s="52"/>
      <c r="U42" s="52"/>
      <c r="V42" s="52" t="s">
        <v>81</v>
      </c>
      <c r="W42" s="50" t="s">
        <v>13</v>
      </c>
      <c r="X42" s="50" t="s">
        <v>13</v>
      </c>
      <c r="Y42" s="53" t="s">
        <v>110</v>
      </c>
      <c r="Z42" s="53" t="s">
        <v>355</v>
      </c>
      <c r="AA42" s="50" t="s">
        <v>13</v>
      </c>
      <c r="AB42" s="50" t="s">
        <v>13</v>
      </c>
      <c r="AC42" s="56" t="s">
        <v>110</v>
      </c>
      <c r="AD42" s="53" t="s">
        <v>312</v>
      </c>
      <c r="AE42" s="50"/>
      <c r="AF42" s="50"/>
      <c r="AG42" s="52"/>
      <c r="AH42" s="53" t="s">
        <v>356</v>
      </c>
      <c r="AI42" s="52" t="s">
        <v>64</v>
      </c>
      <c r="AJ42" s="52" t="s">
        <v>64</v>
      </c>
      <c r="AK42" s="53" t="s">
        <v>152</v>
      </c>
      <c r="AL42" s="52" t="s">
        <v>81</v>
      </c>
      <c r="AM42" s="50" t="s">
        <v>13</v>
      </c>
      <c r="AN42" s="50" t="s">
        <v>13</v>
      </c>
      <c r="AO42" s="53" t="s">
        <v>110</v>
      </c>
      <c r="AP42" s="52" t="s">
        <v>81</v>
      </c>
      <c r="AQ42" s="50" t="s">
        <v>13</v>
      </c>
      <c r="AR42" s="50" t="s">
        <v>13</v>
      </c>
      <c r="AS42" s="53" t="s">
        <v>286</v>
      </c>
      <c r="AT42" s="52"/>
      <c r="AU42" s="53" t="s">
        <v>287</v>
      </c>
      <c r="AV42" s="50" t="s">
        <v>13</v>
      </c>
      <c r="AW42" s="50" t="s">
        <v>13</v>
      </c>
      <c r="AX42" s="52"/>
      <c r="AY42" s="52" t="s">
        <v>81</v>
      </c>
      <c r="AZ42" s="52" t="s">
        <v>13</v>
      </c>
      <c r="BA42" s="52" t="s">
        <v>13</v>
      </c>
      <c r="BB42" s="53" t="s">
        <v>286</v>
      </c>
      <c r="BC42" s="52" t="s">
        <v>81</v>
      </c>
      <c r="BD42" s="50"/>
      <c r="BE42" s="50"/>
      <c r="BF42" s="52"/>
      <c r="BG42" s="52" t="s">
        <v>81</v>
      </c>
      <c r="BH42" s="50" t="s">
        <v>13</v>
      </c>
      <c r="BI42" s="50" t="s">
        <v>13</v>
      </c>
      <c r="BJ42" s="53" t="s">
        <v>286</v>
      </c>
      <c r="BK42" s="52"/>
      <c r="BL42" s="52"/>
      <c r="BM42" s="52"/>
    </row>
    <row r="43" spans="1:65" ht="63.95" customHeight="1">
      <c r="A43" s="58" t="s">
        <v>193</v>
      </c>
      <c r="B43" s="166" t="s">
        <v>357</v>
      </c>
      <c r="C43" s="58" t="s">
        <v>353</v>
      </c>
      <c r="D43" s="59"/>
      <c r="E43" s="171" t="s">
        <v>358</v>
      </c>
      <c r="F43" s="46" t="s">
        <v>160</v>
      </c>
      <c r="G43" s="52">
        <v>5</v>
      </c>
      <c r="H43" s="50" t="s">
        <v>60</v>
      </c>
      <c r="I43" s="168" t="s">
        <v>359</v>
      </c>
      <c r="J43" s="127" t="s">
        <v>162</v>
      </c>
      <c r="K43" s="50"/>
      <c r="L43" s="50"/>
      <c r="M43" s="52"/>
      <c r="N43" s="156" t="s">
        <v>163</v>
      </c>
      <c r="O43" s="50" t="s">
        <v>13</v>
      </c>
      <c r="P43" s="50" t="s">
        <v>13</v>
      </c>
      <c r="Q43" s="53" t="s">
        <v>110</v>
      </c>
      <c r="R43" s="52"/>
      <c r="S43" s="52"/>
      <c r="T43" s="52"/>
      <c r="U43" s="52"/>
      <c r="V43" s="52" t="s">
        <v>81</v>
      </c>
      <c r="W43" s="50" t="s">
        <v>13</v>
      </c>
      <c r="X43" s="50" t="s">
        <v>13</v>
      </c>
      <c r="Y43" s="53" t="s">
        <v>110</v>
      </c>
      <c r="Z43" s="53" t="s">
        <v>164</v>
      </c>
      <c r="AA43" s="50" t="s">
        <v>13</v>
      </c>
      <c r="AB43" s="50" t="s">
        <v>13</v>
      </c>
      <c r="AC43" s="56" t="s">
        <v>110</v>
      </c>
      <c r="AD43" s="53" t="s">
        <v>188</v>
      </c>
      <c r="AE43" s="50"/>
      <c r="AF43" s="50"/>
      <c r="AG43" s="52"/>
      <c r="AH43" s="53" t="s">
        <v>165</v>
      </c>
      <c r="AI43" s="52" t="s">
        <v>64</v>
      </c>
      <c r="AJ43" s="52" t="s">
        <v>64</v>
      </c>
      <c r="AK43" s="53" t="s">
        <v>152</v>
      </c>
      <c r="AL43" s="52" t="s">
        <v>204</v>
      </c>
      <c r="AM43" s="50" t="s">
        <v>13</v>
      </c>
      <c r="AN43" s="50" t="s">
        <v>13</v>
      </c>
      <c r="AO43" s="53" t="s">
        <v>110</v>
      </c>
      <c r="AP43" s="52" t="s">
        <v>81</v>
      </c>
      <c r="AQ43" s="50" t="s">
        <v>13</v>
      </c>
      <c r="AR43" s="50" t="s">
        <v>13</v>
      </c>
      <c r="AS43" s="53" t="s">
        <v>110</v>
      </c>
      <c r="AT43" s="52"/>
      <c r="AU43" s="53" t="s">
        <v>190</v>
      </c>
      <c r="AV43" s="50" t="s">
        <v>13</v>
      </c>
      <c r="AW43" s="50" t="s">
        <v>13</v>
      </c>
      <c r="AX43" s="53" t="s">
        <v>110</v>
      </c>
      <c r="AY43" s="53" t="s">
        <v>167</v>
      </c>
      <c r="AZ43" s="52" t="s">
        <v>13</v>
      </c>
      <c r="BA43" s="52" t="s">
        <v>13</v>
      </c>
      <c r="BB43" s="53" t="s">
        <v>110</v>
      </c>
      <c r="BC43" s="53" t="s">
        <v>331</v>
      </c>
      <c r="BD43" s="50"/>
      <c r="BE43" s="50"/>
      <c r="BF43" s="52"/>
      <c r="BG43" s="53" t="s">
        <v>168</v>
      </c>
      <c r="BH43" s="50" t="s">
        <v>13</v>
      </c>
      <c r="BI43" s="50" t="s">
        <v>13</v>
      </c>
      <c r="BJ43" s="52"/>
      <c r="BK43" s="53" t="s">
        <v>169</v>
      </c>
      <c r="BL43" s="52"/>
      <c r="BM43" s="52"/>
    </row>
    <row r="44" spans="1:65" ht="63.95" customHeight="1">
      <c r="A44" s="47" t="s">
        <v>360</v>
      </c>
      <c r="B44" s="106" t="s">
        <v>361</v>
      </c>
      <c r="C44" s="48" t="s">
        <v>56</v>
      </c>
      <c r="D44" s="69" t="s">
        <v>362</v>
      </c>
      <c r="E44" s="76" t="s">
        <v>363</v>
      </c>
      <c r="F44" s="74" t="s">
        <v>137</v>
      </c>
      <c r="G44" s="52">
        <v>10</v>
      </c>
      <c r="H44" s="50" t="s">
        <v>60</v>
      </c>
      <c r="I44" s="53" t="s">
        <v>364</v>
      </c>
      <c r="J44" s="53" t="s">
        <v>365</v>
      </c>
      <c r="K44" s="50"/>
      <c r="L44" s="50"/>
      <c r="M44" s="52"/>
      <c r="N44" s="53" t="s">
        <v>366</v>
      </c>
      <c r="O44" s="50" t="s">
        <v>13</v>
      </c>
      <c r="P44" s="50" t="s">
        <v>13</v>
      </c>
      <c r="Q44" s="53" t="s">
        <v>110</v>
      </c>
      <c r="R44" s="53" t="s">
        <v>367</v>
      </c>
      <c r="S44" s="52" t="s">
        <v>13</v>
      </c>
      <c r="T44" s="52" t="s">
        <v>13</v>
      </c>
      <c r="U44" s="53" t="s">
        <v>110</v>
      </c>
      <c r="V44" s="52" t="s">
        <v>81</v>
      </c>
      <c r="W44" s="60" t="s">
        <v>13</v>
      </c>
      <c r="X44" s="60" t="s">
        <v>13</v>
      </c>
      <c r="Y44" s="56" t="s">
        <v>110</v>
      </c>
      <c r="Z44" s="53" t="s">
        <v>368</v>
      </c>
      <c r="AA44" s="60" t="s">
        <v>13</v>
      </c>
      <c r="AB44" s="60" t="s">
        <v>13</v>
      </c>
      <c r="AC44" s="56" t="s">
        <v>110</v>
      </c>
      <c r="AD44" s="53" t="s">
        <v>369</v>
      </c>
      <c r="AE44" s="60" t="s">
        <v>13</v>
      </c>
      <c r="AF44" s="60" t="s">
        <v>13</v>
      </c>
      <c r="AG44" s="53" t="s">
        <v>220</v>
      </c>
      <c r="AH44" s="52"/>
      <c r="AI44" s="52"/>
      <c r="AJ44" s="52"/>
      <c r="AK44" s="52"/>
      <c r="AL44" s="52" t="s">
        <v>81</v>
      </c>
      <c r="AM44" s="50" t="s">
        <v>13</v>
      </c>
      <c r="AN44" s="50" t="s">
        <v>13</v>
      </c>
      <c r="AO44" s="53" t="s">
        <v>220</v>
      </c>
      <c r="AP44" s="52" t="s">
        <v>81</v>
      </c>
      <c r="AQ44" s="50" t="s">
        <v>13</v>
      </c>
      <c r="AR44" s="50" t="s">
        <v>13</v>
      </c>
      <c r="AS44" s="53" t="s">
        <v>110</v>
      </c>
      <c r="AT44" s="52"/>
      <c r="AU44" s="53" t="s">
        <v>370</v>
      </c>
      <c r="AV44" s="50"/>
      <c r="AW44" s="50"/>
      <c r="AX44" s="52"/>
      <c r="AY44" s="52"/>
      <c r="AZ44" s="52"/>
      <c r="BA44" s="52"/>
      <c r="BB44" s="52"/>
      <c r="BC44" s="52"/>
      <c r="BD44" s="52"/>
      <c r="BE44" s="52"/>
      <c r="BF44" s="52"/>
      <c r="BG44" s="52" t="s">
        <v>81</v>
      </c>
      <c r="BH44" s="50" t="s">
        <v>13</v>
      </c>
      <c r="BI44" s="50" t="s">
        <v>13</v>
      </c>
      <c r="BJ44" s="53" t="s">
        <v>110</v>
      </c>
      <c r="BK44" s="157" t="s">
        <v>371</v>
      </c>
      <c r="BL44" s="52"/>
      <c r="BM44" s="52"/>
    </row>
    <row r="45" spans="1:65" ht="63.95" customHeight="1">
      <c r="A45" s="47" t="s">
        <v>360</v>
      </c>
      <c r="B45" s="107" t="s">
        <v>372</v>
      </c>
      <c r="C45" s="47" t="s">
        <v>56</v>
      </c>
      <c r="D45" s="69" t="s">
        <v>373</v>
      </c>
      <c r="E45" s="76" t="s">
        <v>374</v>
      </c>
      <c r="F45" s="74" t="s">
        <v>137</v>
      </c>
      <c r="G45" s="52">
        <v>14</v>
      </c>
      <c r="H45" s="50" t="s">
        <v>60</v>
      </c>
      <c r="I45" s="53" t="s">
        <v>375</v>
      </c>
      <c r="J45" s="53" t="s">
        <v>365</v>
      </c>
      <c r="K45" s="50"/>
      <c r="L45" s="50"/>
      <c r="M45" s="52"/>
      <c r="N45" s="53" t="s">
        <v>366</v>
      </c>
      <c r="O45" s="50" t="s">
        <v>13</v>
      </c>
      <c r="P45" s="50" t="s">
        <v>13</v>
      </c>
      <c r="Q45" s="53" t="s">
        <v>93</v>
      </c>
      <c r="R45" s="53" t="s">
        <v>367</v>
      </c>
      <c r="S45" s="52" t="s">
        <v>13</v>
      </c>
      <c r="T45" s="52" t="s">
        <v>13</v>
      </c>
      <c r="U45" s="53" t="s">
        <v>93</v>
      </c>
      <c r="V45" s="52" t="s">
        <v>81</v>
      </c>
      <c r="W45" s="50" t="s">
        <v>13</v>
      </c>
      <c r="X45" s="50" t="s">
        <v>13</v>
      </c>
      <c r="Y45" s="53" t="s">
        <v>93</v>
      </c>
      <c r="Z45" s="53" t="s">
        <v>376</v>
      </c>
      <c r="AA45" s="60" t="s">
        <v>13</v>
      </c>
      <c r="AB45" s="60" t="s">
        <v>13</v>
      </c>
      <c r="AC45" s="53" t="s">
        <v>202</v>
      </c>
      <c r="AD45" s="53" t="s">
        <v>369</v>
      </c>
      <c r="AE45" s="50" t="s">
        <v>13</v>
      </c>
      <c r="AF45" s="50" t="s">
        <v>13</v>
      </c>
      <c r="AG45" s="53" t="s">
        <v>93</v>
      </c>
      <c r="AH45" s="52"/>
      <c r="AI45" s="52"/>
      <c r="AJ45" s="52"/>
      <c r="AK45" s="52"/>
      <c r="AL45" s="52" t="s">
        <v>81</v>
      </c>
      <c r="AM45" s="50" t="s">
        <v>13</v>
      </c>
      <c r="AN45" s="50" t="s">
        <v>13</v>
      </c>
      <c r="AO45" s="53" t="s">
        <v>205</v>
      </c>
      <c r="AP45" s="52" t="s">
        <v>81</v>
      </c>
      <c r="AQ45" s="50" t="s">
        <v>13</v>
      </c>
      <c r="AR45" s="50" t="s">
        <v>13</v>
      </c>
      <c r="AS45" s="53" t="s">
        <v>93</v>
      </c>
      <c r="AT45" s="52"/>
      <c r="AU45" s="53" t="s">
        <v>377</v>
      </c>
      <c r="AV45" s="50" t="s">
        <v>13</v>
      </c>
      <c r="AW45" s="50" t="s">
        <v>13</v>
      </c>
      <c r="AX45" s="53" t="s">
        <v>93</v>
      </c>
      <c r="AY45" s="52"/>
      <c r="AZ45" s="52"/>
      <c r="BA45" s="52"/>
      <c r="BB45" s="52"/>
      <c r="BC45" s="52"/>
      <c r="BD45" s="52"/>
      <c r="BE45" s="52"/>
      <c r="BF45" s="52"/>
      <c r="BG45" s="52" t="s">
        <v>81</v>
      </c>
      <c r="BH45" s="50" t="s">
        <v>13</v>
      </c>
      <c r="BI45" s="50" t="s">
        <v>13</v>
      </c>
      <c r="BJ45" s="53" t="s">
        <v>93</v>
      </c>
      <c r="BK45" s="157" t="s">
        <v>371</v>
      </c>
      <c r="BL45" s="52"/>
      <c r="BM45" s="52"/>
    </row>
    <row r="46" spans="1:65" ht="63.95" customHeight="1">
      <c r="A46" s="47" t="s">
        <v>146</v>
      </c>
      <c r="B46" s="48" t="s">
        <v>378</v>
      </c>
      <c r="C46" s="242" t="s">
        <v>56</v>
      </c>
      <c r="D46" s="81" t="s">
        <v>379</v>
      </c>
      <c r="E46" s="111" t="s">
        <v>380</v>
      </c>
      <c r="F46" s="46" t="s">
        <v>160</v>
      </c>
      <c r="G46" s="52">
        <v>5</v>
      </c>
      <c r="H46" s="50" t="s">
        <v>60</v>
      </c>
      <c r="I46" s="168" t="s">
        <v>359</v>
      </c>
      <c r="J46" s="127" t="s">
        <v>162</v>
      </c>
      <c r="K46" s="50"/>
      <c r="L46" s="50"/>
      <c r="M46" s="52"/>
      <c r="N46" s="127" t="s">
        <v>162</v>
      </c>
      <c r="O46" s="50" t="s">
        <v>13</v>
      </c>
      <c r="P46" s="50" t="s">
        <v>13</v>
      </c>
      <c r="Q46" s="53" t="s">
        <v>93</v>
      </c>
      <c r="R46" s="52"/>
      <c r="S46" s="52"/>
      <c r="T46" s="52"/>
      <c r="U46" s="52"/>
      <c r="V46" s="52" t="s">
        <v>81</v>
      </c>
      <c r="W46" s="60" t="s">
        <v>13</v>
      </c>
      <c r="X46" s="60" t="s">
        <v>13</v>
      </c>
      <c r="Y46" s="251" t="s">
        <v>93</v>
      </c>
      <c r="Z46" s="53" t="s">
        <v>187</v>
      </c>
      <c r="AA46" s="50" t="s">
        <v>13</v>
      </c>
      <c r="AB46" s="50" t="s">
        <v>13</v>
      </c>
      <c r="AC46" s="53" t="s">
        <v>143</v>
      </c>
      <c r="AD46" s="53" t="s">
        <v>188</v>
      </c>
      <c r="AE46" s="50"/>
      <c r="AF46" s="50"/>
      <c r="AG46" s="52"/>
      <c r="AH46" s="53" t="s">
        <v>189</v>
      </c>
      <c r="AI46" s="50" t="s">
        <v>13</v>
      </c>
      <c r="AJ46" s="50" t="s">
        <v>13</v>
      </c>
      <c r="AK46" s="53" t="s">
        <v>143</v>
      </c>
      <c r="AL46" s="52" t="s">
        <v>81</v>
      </c>
      <c r="AM46" s="60" t="s">
        <v>13</v>
      </c>
      <c r="AN46" s="60" t="s">
        <v>13</v>
      </c>
      <c r="AO46" s="51" t="s">
        <v>93</v>
      </c>
      <c r="AP46" s="52" t="s">
        <v>81</v>
      </c>
      <c r="AQ46" s="50" t="s">
        <v>13</v>
      </c>
      <c r="AR46" s="50" t="s">
        <v>13</v>
      </c>
      <c r="AS46" s="53" t="s">
        <v>93</v>
      </c>
      <c r="AT46" s="52"/>
      <c r="AU46" s="53" t="s">
        <v>190</v>
      </c>
      <c r="AV46" s="50" t="s">
        <v>13</v>
      </c>
      <c r="AW46" s="50" t="s">
        <v>13</v>
      </c>
      <c r="AX46" s="53" t="s">
        <v>143</v>
      </c>
      <c r="AY46" s="53" t="s">
        <v>191</v>
      </c>
      <c r="AZ46" s="52" t="s">
        <v>13</v>
      </c>
      <c r="BA46" s="52" t="s">
        <v>13</v>
      </c>
      <c r="BB46" s="53" t="s">
        <v>143</v>
      </c>
      <c r="BC46" s="53" t="s">
        <v>331</v>
      </c>
      <c r="BD46" s="50"/>
      <c r="BE46" s="50"/>
      <c r="BF46" s="52"/>
      <c r="BG46" s="53" t="s">
        <v>331</v>
      </c>
      <c r="BH46" s="50" t="s">
        <v>13</v>
      </c>
      <c r="BI46" s="50" t="s">
        <v>13</v>
      </c>
      <c r="BJ46" s="53" t="s">
        <v>93</v>
      </c>
      <c r="BK46" s="53" t="s">
        <v>169</v>
      </c>
      <c r="BL46" s="52"/>
      <c r="BM46" s="52"/>
    </row>
    <row r="47" spans="1:65" ht="63.95" customHeight="1">
      <c r="A47" s="47" t="s">
        <v>360</v>
      </c>
      <c r="B47" s="48" t="s">
        <v>381</v>
      </c>
      <c r="C47" s="241" t="s">
        <v>68</v>
      </c>
      <c r="D47" s="69" t="s">
        <v>382</v>
      </c>
      <c r="E47" s="76" t="s">
        <v>383</v>
      </c>
      <c r="F47" s="74" t="s">
        <v>137</v>
      </c>
      <c r="G47" s="52">
        <v>9</v>
      </c>
      <c r="H47" s="50" t="s">
        <v>60</v>
      </c>
      <c r="I47" s="53" t="s">
        <v>384</v>
      </c>
      <c r="J47" s="53" t="s">
        <v>365</v>
      </c>
      <c r="K47" s="50"/>
      <c r="L47" s="50"/>
      <c r="M47" s="52"/>
      <c r="N47" s="53" t="s">
        <v>366</v>
      </c>
      <c r="O47" s="50" t="s">
        <v>13</v>
      </c>
      <c r="P47" s="50" t="s">
        <v>13</v>
      </c>
      <c r="Q47" s="53" t="s">
        <v>93</v>
      </c>
      <c r="R47" s="53" t="s">
        <v>367</v>
      </c>
      <c r="S47" s="52" t="s">
        <v>13</v>
      </c>
      <c r="T47" s="52" t="s">
        <v>13</v>
      </c>
      <c r="U47" s="53" t="s">
        <v>93</v>
      </c>
      <c r="V47" s="52" t="s">
        <v>81</v>
      </c>
      <c r="W47" s="60" t="s">
        <v>13</v>
      </c>
      <c r="X47" s="60" t="s">
        <v>13</v>
      </c>
      <c r="Y47" s="53" t="s">
        <v>93</v>
      </c>
      <c r="Z47" s="53" t="s">
        <v>376</v>
      </c>
      <c r="AA47" s="50" t="s">
        <v>13</v>
      </c>
      <c r="AB47" s="50" t="s">
        <v>13</v>
      </c>
      <c r="AC47" s="53" t="s">
        <v>143</v>
      </c>
      <c r="AD47" s="53" t="s">
        <v>369</v>
      </c>
      <c r="AE47" s="50" t="s">
        <v>13</v>
      </c>
      <c r="AF47" s="50" t="s">
        <v>13</v>
      </c>
      <c r="AG47" s="53" t="s">
        <v>143</v>
      </c>
      <c r="AH47" s="52"/>
      <c r="AI47" s="52"/>
      <c r="AJ47" s="52"/>
      <c r="AK47" s="52"/>
      <c r="AL47" s="52" t="s">
        <v>81</v>
      </c>
      <c r="AM47" s="60" t="s">
        <v>13</v>
      </c>
      <c r="AN47" s="60" t="s">
        <v>13</v>
      </c>
      <c r="AO47" s="51" t="s">
        <v>93</v>
      </c>
      <c r="AP47" s="52" t="s">
        <v>81</v>
      </c>
      <c r="AQ47" s="50" t="s">
        <v>13</v>
      </c>
      <c r="AR47" s="50" t="s">
        <v>13</v>
      </c>
      <c r="AS47" s="53" t="s">
        <v>93</v>
      </c>
      <c r="AT47" s="52"/>
      <c r="AU47" s="53" t="s">
        <v>377</v>
      </c>
      <c r="AV47" s="50" t="s">
        <v>13</v>
      </c>
      <c r="AW47" s="50" t="s">
        <v>13</v>
      </c>
      <c r="AX47" s="53" t="s">
        <v>93</v>
      </c>
      <c r="AY47" s="52"/>
      <c r="AZ47" s="52"/>
      <c r="BA47" s="52"/>
      <c r="BB47" s="52"/>
      <c r="BC47" s="52"/>
      <c r="BD47" s="52"/>
      <c r="BE47" s="52"/>
      <c r="BF47" s="52"/>
      <c r="BG47" s="52" t="s">
        <v>81</v>
      </c>
      <c r="BH47" s="50" t="s">
        <v>13</v>
      </c>
      <c r="BI47" s="50" t="s">
        <v>13</v>
      </c>
      <c r="BJ47" s="53" t="s">
        <v>93</v>
      </c>
      <c r="BK47" s="123" t="s">
        <v>385</v>
      </c>
      <c r="BL47" s="52"/>
      <c r="BM47" s="52"/>
    </row>
    <row r="48" spans="1:65" ht="63.95" customHeight="1">
      <c r="A48" s="47" t="s">
        <v>360</v>
      </c>
      <c r="B48" s="47" t="s">
        <v>386</v>
      </c>
      <c r="C48" s="48" t="s">
        <v>56</v>
      </c>
      <c r="D48" s="69" t="s">
        <v>387</v>
      </c>
      <c r="E48" s="76" t="s">
        <v>388</v>
      </c>
      <c r="F48" s="74" t="s">
        <v>137</v>
      </c>
      <c r="G48" s="52">
        <v>9</v>
      </c>
      <c r="H48" s="50" t="s">
        <v>60</v>
      </c>
      <c r="I48" s="53" t="s">
        <v>389</v>
      </c>
      <c r="J48" s="53" t="s">
        <v>390</v>
      </c>
      <c r="K48" s="50"/>
      <c r="L48" s="50"/>
      <c r="M48" s="52"/>
      <c r="N48" s="53" t="s">
        <v>391</v>
      </c>
      <c r="O48" s="50" t="s">
        <v>13</v>
      </c>
      <c r="P48" s="50" t="s">
        <v>13</v>
      </c>
      <c r="Q48" s="53" t="s">
        <v>110</v>
      </c>
      <c r="R48" s="53" t="s">
        <v>392</v>
      </c>
      <c r="S48" s="52" t="s">
        <v>13</v>
      </c>
      <c r="T48" s="52" t="s">
        <v>13</v>
      </c>
      <c r="U48" s="53" t="s">
        <v>110</v>
      </c>
      <c r="V48" s="52" t="s">
        <v>81</v>
      </c>
      <c r="W48" s="50" t="s">
        <v>13</v>
      </c>
      <c r="X48" s="50" t="s">
        <v>13</v>
      </c>
      <c r="Y48" s="53" t="s">
        <v>110</v>
      </c>
      <c r="Z48" s="53" t="s">
        <v>393</v>
      </c>
      <c r="AA48" s="50" t="s">
        <v>13</v>
      </c>
      <c r="AB48" s="50" t="s">
        <v>13</v>
      </c>
      <c r="AC48" s="56" t="s">
        <v>110</v>
      </c>
      <c r="AD48" s="53" t="s">
        <v>394</v>
      </c>
      <c r="AE48" s="50" t="s">
        <v>13</v>
      </c>
      <c r="AF48" s="50" t="s">
        <v>13</v>
      </c>
      <c r="AG48" s="53" t="s">
        <v>110</v>
      </c>
      <c r="AH48" s="52"/>
      <c r="AI48" s="52"/>
      <c r="AJ48" s="52"/>
      <c r="AK48" s="52"/>
      <c r="AL48" s="52" t="s">
        <v>81</v>
      </c>
      <c r="AM48" s="50" t="s">
        <v>13</v>
      </c>
      <c r="AN48" s="50" t="s">
        <v>13</v>
      </c>
      <c r="AO48" s="53" t="s">
        <v>110</v>
      </c>
      <c r="AP48" s="52" t="s">
        <v>81</v>
      </c>
      <c r="AQ48" s="50" t="s">
        <v>13</v>
      </c>
      <c r="AR48" s="50" t="s">
        <v>13</v>
      </c>
      <c r="AS48" s="53" t="s">
        <v>110</v>
      </c>
      <c r="AT48" s="52"/>
      <c r="AU48" s="53" t="s">
        <v>395</v>
      </c>
      <c r="AV48" s="50" t="s">
        <v>13</v>
      </c>
      <c r="AW48" s="50" t="s">
        <v>13</v>
      </c>
      <c r="AX48" s="53" t="s">
        <v>110</v>
      </c>
      <c r="AY48" s="52"/>
      <c r="AZ48" s="52"/>
      <c r="BA48" s="52"/>
      <c r="BB48" s="52"/>
      <c r="BC48" s="52"/>
      <c r="BD48" s="52"/>
      <c r="BE48" s="52"/>
      <c r="BF48" s="52"/>
      <c r="BG48" s="52" t="s">
        <v>81</v>
      </c>
      <c r="BH48" s="50" t="s">
        <v>13</v>
      </c>
      <c r="BI48" s="50" t="s">
        <v>13</v>
      </c>
      <c r="BJ48" s="53" t="s">
        <v>110</v>
      </c>
      <c r="BK48" s="123" t="s">
        <v>385</v>
      </c>
      <c r="BL48" s="52"/>
      <c r="BM48" s="52"/>
    </row>
    <row r="49" spans="1:65" ht="63.95" customHeight="1">
      <c r="A49" s="47" t="s">
        <v>360</v>
      </c>
      <c r="B49" s="48" t="s">
        <v>396</v>
      </c>
      <c r="C49" s="47" t="s">
        <v>56</v>
      </c>
      <c r="D49" s="69"/>
      <c r="E49" s="76" t="s">
        <v>397</v>
      </c>
      <c r="F49" s="74" t="s">
        <v>137</v>
      </c>
      <c r="G49" s="52">
        <v>1</v>
      </c>
      <c r="H49" s="50" t="s">
        <v>60</v>
      </c>
      <c r="I49" s="53" t="s">
        <v>389</v>
      </c>
      <c r="J49" s="53" t="s">
        <v>390</v>
      </c>
      <c r="K49" s="50"/>
      <c r="L49" s="50"/>
      <c r="M49" s="52"/>
      <c r="N49" s="53" t="s">
        <v>398</v>
      </c>
      <c r="O49" s="50" t="s">
        <v>13</v>
      </c>
      <c r="P49" s="50" t="s">
        <v>13</v>
      </c>
      <c r="Q49" s="53" t="s">
        <v>110</v>
      </c>
      <c r="R49" s="53" t="s">
        <v>392</v>
      </c>
      <c r="S49" s="52" t="s">
        <v>13</v>
      </c>
      <c r="T49" s="52" t="s">
        <v>13</v>
      </c>
      <c r="U49" s="53" t="s">
        <v>110</v>
      </c>
      <c r="V49" s="52" t="s">
        <v>81</v>
      </c>
      <c r="W49" s="50" t="s">
        <v>13</v>
      </c>
      <c r="X49" s="50" t="s">
        <v>13</v>
      </c>
      <c r="Y49" s="53" t="s">
        <v>110</v>
      </c>
      <c r="Z49" s="53" t="s">
        <v>399</v>
      </c>
      <c r="AA49" s="50" t="s">
        <v>13</v>
      </c>
      <c r="AB49" s="50" t="s">
        <v>13</v>
      </c>
      <c r="AC49" s="56" t="s">
        <v>110</v>
      </c>
      <c r="AD49" s="53" t="s">
        <v>400</v>
      </c>
      <c r="AE49" s="50" t="s">
        <v>13</v>
      </c>
      <c r="AF49" s="50" t="s">
        <v>13</v>
      </c>
      <c r="AG49" s="53" t="s">
        <v>110</v>
      </c>
      <c r="AH49" s="52"/>
      <c r="AI49" s="52"/>
      <c r="AJ49" s="52"/>
      <c r="AK49" s="52"/>
      <c r="AL49" s="52" t="s">
        <v>81</v>
      </c>
      <c r="AM49" s="50" t="s">
        <v>13</v>
      </c>
      <c r="AN49" s="50" t="s">
        <v>13</v>
      </c>
      <c r="AO49" s="53" t="s">
        <v>110</v>
      </c>
      <c r="AP49" s="52" t="s">
        <v>81</v>
      </c>
      <c r="AQ49" s="50" t="s">
        <v>13</v>
      </c>
      <c r="AR49" s="50" t="s">
        <v>13</v>
      </c>
      <c r="AS49" s="53" t="s">
        <v>110</v>
      </c>
      <c r="AT49" s="52"/>
      <c r="AU49" s="53" t="s">
        <v>395</v>
      </c>
      <c r="AV49" s="50" t="s">
        <v>13</v>
      </c>
      <c r="AW49" s="50" t="s">
        <v>13</v>
      </c>
      <c r="AX49" s="53" t="s">
        <v>110</v>
      </c>
      <c r="AY49" s="52"/>
      <c r="AZ49" s="52"/>
      <c r="BA49" s="52"/>
      <c r="BB49" s="52"/>
      <c r="BC49" s="52"/>
      <c r="BD49" s="52"/>
      <c r="BE49" s="52"/>
      <c r="BF49" s="52"/>
      <c r="BG49" s="52" t="s">
        <v>81</v>
      </c>
      <c r="BH49" s="50" t="s">
        <v>13</v>
      </c>
      <c r="BI49" s="50" t="s">
        <v>13</v>
      </c>
      <c r="BJ49" s="53" t="s">
        <v>110</v>
      </c>
      <c r="BK49" s="123" t="s">
        <v>385</v>
      </c>
      <c r="BL49" s="52"/>
      <c r="BM49" s="52"/>
    </row>
    <row r="50" spans="1:65" ht="63.95" customHeight="1">
      <c r="A50" s="47" t="s">
        <v>360</v>
      </c>
      <c r="B50" s="48" t="s">
        <v>401</v>
      </c>
      <c r="C50" s="47" t="s">
        <v>56</v>
      </c>
      <c r="D50" s="69"/>
      <c r="E50" s="76" t="s">
        <v>402</v>
      </c>
      <c r="F50" s="74" t="s">
        <v>403</v>
      </c>
      <c r="G50" s="52" t="s">
        <v>404</v>
      </c>
      <c r="H50" s="50" t="s">
        <v>60</v>
      </c>
      <c r="I50" s="53" t="s">
        <v>405</v>
      </c>
      <c r="J50" s="53" t="s">
        <v>365</v>
      </c>
      <c r="K50" s="50"/>
      <c r="L50" s="50"/>
      <c r="M50" s="52"/>
      <c r="N50" s="53" t="s">
        <v>406</v>
      </c>
      <c r="O50" s="50"/>
      <c r="P50" s="50"/>
      <c r="Q50" s="52"/>
      <c r="R50" s="53" t="s">
        <v>367</v>
      </c>
      <c r="S50" s="52" t="s">
        <v>64</v>
      </c>
      <c r="T50" s="52" t="s">
        <v>64</v>
      </c>
      <c r="U50" s="53" t="s">
        <v>177</v>
      </c>
      <c r="V50" s="52" t="s">
        <v>81</v>
      </c>
      <c r="W50" s="50" t="s">
        <v>13</v>
      </c>
      <c r="X50" s="50" t="s">
        <v>13</v>
      </c>
      <c r="Y50" s="53" t="s">
        <v>177</v>
      </c>
      <c r="Z50" s="53" t="s">
        <v>376</v>
      </c>
      <c r="AA50" s="50" t="s">
        <v>226</v>
      </c>
      <c r="AB50" s="50" t="s">
        <v>13</v>
      </c>
      <c r="AC50" s="53" t="s">
        <v>177</v>
      </c>
      <c r="AD50" s="53" t="s">
        <v>369</v>
      </c>
      <c r="AE50" s="50" t="s">
        <v>226</v>
      </c>
      <c r="AF50" s="50" t="s">
        <v>13</v>
      </c>
      <c r="AG50" s="53" t="s">
        <v>177</v>
      </c>
      <c r="AH50" s="52"/>
      <c r="AI50" s="52"/>
      <c r="AJ50" s="52"/>
      <c r="AK50" s="52"/>
      <c r="AL50" s="52" t="s">
        <v>81</v>
      </c>
      <c r="AM50" s="50" t="s">
        <v>226</v>
      </c>
      <c r="AN50" s="50" t="s">
        <v>13</v>
      </c>
      <c r="AO50" s="52" t="s">
        <v>407</v>
      </c>
      <c r="AP50" s="52" t="s">
        <v>81</v>
      </c>
      <c r="AQ50" s="50" t="s">
        <v>226</v>
      </c>
      <c r="AR50" s="50" t="s">
        <v>13</v>
      </c>
      <c r="AS50" s="53" t="s">
        <v>143</v>
      </c>
      <c r="AT50" s="52"/>
      <c r="AU50" s="53" t="s">
        <v>370</v>
      </c>
      <c r="AV50" s="50" t="s">
        <v>226</v>
      </c>
      <c r="AW50" s="50" t="s">
        <v>13</v>
      </c>
      <c r="AX50" s="53" t="s">
        <v>408</v>
      </c>
      <c r="AY50" s="52"/>
      <c r="AZ50" s="52"/>
      <c r="BA50" s="52"/>
      <c r="BB50" s="52"/>
      <c r="BC50" s="52"/>
      <c r="BD50" s="52"/>
      <c r="BE50" s="52"/>
      <c r="BF50" s="52"/>
      <c r="BG50" s="52" t="s">
        <v>81</v>
      </c>
      <c r="BH50" s="50" t="s">
        <v>226</v>
      </c>
      <c r="BI50" s="50" t="s">
        <v>13</v>
      </c>
      <c r="BJ50" s="53" t="s">
        <v>143</v>
      </c>
      <c r="BK50" s="123" t="s">
        <v>385</v>
      </c>
      <c r="BL50" s="52"/>
      <c r="BM50" s="52"/>
    </row>
    <row r="51" spans="1:65" ht="63.95" customHeight="1">
      <c r="A51" s="47" t="s">
        <v>360</v>
      </c>
      <c r="B51" s="48" t="s">
        <v>409</v>
      </c>
      <c r="C51" s="48" t="s">
        <v>56</v>
      </c>
      <c r="D51" s="69" t="s">
        <v>410</v>
      </c>
      <c r="E51" s="111" t="s">
        <v>411</v>
      </c>
      <c r="F51" s="46" t="s">
        <v>412</v>
      </c>
      <c r="G51" s="52" t="s">
        <v>413</v>
      </c>
      <c r="H51" s="50" t="s">
        <v>60</v>
      </c>
      <c r="I51" s="125" t="s">
        <v>414</v>
      </c>
      <c r="J51" s="126" t="s">
        <v>415</v>
      </c>
      <c r="K51" s="50"/>
      <c r="L51" s="50"/>
      <c r="M51" s="52"/>
      <c r="N51" s="126" t="s">
        <v>415</v>
      </c>
      <c r="O51" s="50" t="s">
        <v>13</v>
      </c>
      <c r="P51" s="50" t="s">
        <v>13</v>
      </c>
      <c r="Q51" s="53" t="s">
        <v>177</v>
      </c>
      <c r="R51" s="126" t="s">
        <v>416</v>
      </c>
      <c r="S51" s="52" t="s">
        <v>13</v>
      </c>
      <c r="T51" s="52" t="s">
        <v>13</v>
      </c>
      <c r="U51" s="53" t="s">
        <v>177</v>
      </c>
      <c r="V51" s="52" t="s">
        <v>81</v>
      </c>
      <c r="W51" s="50" t="s">
        <v>13</v>
      </c>
      <c r="X51" s="50" t="s">
        <v>13</v>
      </c>
      <c r="Y51" s="53" t="s">
        <v>177</v>
      </c>
      <c r="Z51" s="126" t="s">
        <v>417</v>
      </c>
      <c r="AA51" s="52"/>
      <c r="AB51" s="52"/>
      <c r="AC51" s="52"/>
      <c r="AD51" s="126" t="s">
        <v>417</v>
      </c>
      <c r="AE51" s="52"/>
      <c r="AF51" s="52"/>
      <c r="AG51" s="52"/>
      <c r="AH51" s="126" t="s">
        <v>418</v>
      </c>
      <c r="AI51" s="50" t="s">
        <v>13</v>
      </c>
      <c r="AJ51" s="50" t="s">
        <v>13</v>
      </c>
      <c r="AK51" s="53" t="s">
        <v>177</v>
      </c>
      <c r="AL51" s="52" t="s">
        <v>81</v>
      </c>
      <c r="AM51" s="50" t="s">
        <v>13</v>
      </c>
      <c r="AN51" s="50" t="s">
        <v>13</v>
      </c>
      <c r="AO51" s="53" t="s">
        <v>177</v>
      </c>
      <c r="AP51" s="52" t="s">
        <v>81</v>
      </c>
      <c r="AQ51" s="50" t="s">
        <v>419</v>
      </c>
      <c r="AR51" s="50" t="s">
        <v>13</v>
      </c>
      <c r="AS51" s="53" t="s">
        <v>177</v>
      </c>
      <c r="AT51" s="52"/>
      <c r="AU51" s="126" t="s">
        <v>420</v>
      </c>
      <c r="AV51" s="52"/>
      <c r="AW51" s="52"/>
      <c r="AX51" s="52"/>
      <c r="AY51" s="52" t="s">
        <v>204</v>
      </c>
      <c r="AZ51" s="52"/>
      <c r="BA51" s="52"/>
      <c r="BB51" s="52"/>
      <c r="BC51" s="52" t="s">
        <v>204</v>
      </c>
      <c r="BD51" s="52"/>
      <c r="BE51" s="52"/>
      <c r="BF51" s="52"/>
      <c r="BG51" s="52" t="s">
        <v>81</v>
      </c>
      <c r="BH51" s="50" t="s">
        <v>13</v>
      </c>
      <c r="BI51" s="50" t="s">
        <v>13</v>
      </c>
      <c r="BJ51" s="53" t="s">
        <v>177</v>
      </c>
      <c r="BK51" s="123" t="s">
        <v>421</v>
      </c>
      <c r="BL51" s="52"/>
      <c r="BM51" s="52"/>
    </row>
    <row r="52" spans="1:65" ht="63.95" customHeight="1">
      <c r="A52" s="47" t="s">
        <v>360</v>
      </c>
      <c r="B52" s="48" t="s">
        <v>422</v>
      </c>
      <c r="C52" s="174" t="s">
        <v>56</v>
      </c>
      <c r="D52" s="69" t="s">
        <v>423</v>
      </c>
      <c r="E52" s="111" t="s">
        <v>424</v>
      </c>
      <c r="F52" s="46" t="s">
        <v>425</v>
      </c>
      <c r="G52" s="52">
        <v>7</v>
      </c>
      <c r="H52" s="50" t="s">
        <v>60</v>
      </c>
      <c r="I52" s="125" t="s">
        <v>414</v>
      </c>
      <c r="J52" s="126" t="s">
        <v>415</v>
      </c>
      <c r="K52" s="50"/>
      <c r="L52" s="50"/>
      <c r="M52" s="52"/>
      <c r="N52" s="126" t="s">
        <v>415</v>
      </c>
      <c r="O52" s="50" t="s">
        <v>13</v>
      </c>
      <c r="P52" s="50" t="s">
        <v>13</v>
      </c>
      <c r="Q52" s="53" t="s">
        <v>152</v>
      </c>
      <c r="R52" s="126" t="s">
        <v>416</v>
      </c>
      <c r="S52" s="52" t="s">
        <v>13</v>
      </c>
      <c r="T52" s="52" t="s">
        <v>13</v>
      </c>
      <c r="U52" s="53" t="s">
        <v>152</v>
      </c>
      <c r="V52" s="52" t="s">
        <v>81</v>
      </c>
      <c r="W52" s="60" t="s">
        <v>13</v>
      </c>
      <c r="X52" s="60" t="s">
        <v>13</v>
      </c>
      <c r="Y52" s="180" t="s">
        <v>152</v>
      </c>
      <c r="Z52" s="126" t="s">
        <v>417</v>
      </c>
      <c r="AA52" s="52"/>
      <c r="AB52" s="52"/>
      <c r="AC52" s="52"/>
      <c r="AD52" s="126" t="s">
        <v>426</v>
      </c>
      <c r="AE52" s="52"/>
      <c r="AF52" s="52"/>
      <c r="AG52" s="52"/>
      <c r="AH52" s="126" t="s">
        <v>426</v>
      </c>
      <c r="AI52" s="50" t="s">
        <v>13</v>
      </c>
      <c r="AJ52" s="50" t="s">
        <v>13</v>
      </c>
      <c r="AK52" s="53" t="s">
        <v>152</v>
      </c>
      <c r="AL52" s="52" t="s">
        <v>81</v>
      </c>
      <c r="AM52" s="50" t="s">
        <v>13</v>
      </c>
      <c r="AN52" s="50" t="s">
        <v>13</v>
      </c>
      <c r="AO52" s="53" t="s">
        <v>152</v>
      </c>
      <c r="AP52" s="52" t="s">
        <v>81</v>
      </c>
      <c r="AQ52" s="60" t="s">
        <v>13</v>
      </c>
      <c r="AR52" s="60" t="s">
        <v>13</v>
      </c>
      <c r="AS52" s="53" t="s">
        <v>152</v>
      </c>
      <c r="AT52" s="52"/>
      <c r="AU52" s="126" t="s">
        <v>420</v>
      </c>
      <c r="AV52" s="52"/>
      <c r="AW52" s="52"/>
      <c r="AX52" s="52"/>
      <c r="AY52" s="52" t="s">
        <v>204</v>
      </c>
      <c r="AZ52" s="52"/>
      <c r="BA52" s="52"/>
      <c r="BB52" s="52"/>
      <c r="BC52" s="52" t="s">
        <v>204</v>
      </c>
      <c r="BD52" s="52"/>
      <c r="BE52" s="52"/>
      <c r="BF52" s="52"/>
      <c r="BG52" s="52" t="s">
        <v>81</v>
      </c>
      <c r="BH52" s="50" t="s">
        <v>13</v>
      </c>
      <c r="BI52" s="50" t="s">
        <v>13</v>
      </c>
      <c r="BJ52" s="53" t="s">
        <v>152</v>
      </c>
      <c r="BK52" s="123" t="s">
        <v>421</v>
      </c>
      <c r="BL52" s="52"/>
      <c r="BM52" s="52"/>
    </row>
    <row r="53" spans="1:65" ht="63.95" customHeight="1">
      <c r="A53" s="47" t="s">
        <v>360</v>
      </c>
      <c r="B53" s="48" t="s">
        <v>427</v>
      </c>
      <c r="C53" s="174" t="s">
        <v>56</v>
      </c>
      <c r="D53" s="64" t="s">
        <v>428</v>
      </c>
      <c r="E53" s="111" t="s">
        <v>429</v>
      </c>
      <c r="F53" s="46" t="s">
        <v>425</v>
      </c>
      <c r="G53" s="52">
        <v>10</v>
      </c>
      <c r="H53" s="50" t="s">
        <v>60</v>
      </c>
      <c r="I53" s="125" t="s">
        <v>430</v>
      </c>
      <c r="J53" s="126" t="s">
        <v>415</v>
      </c>
      <c r="K53" s="50"/>
      <c r="L53" s="50"/>
      <c r="M53" s="52"/>
      <c r="N53" s="126" t="s">
        <v>431</v>
      </c>
      <c r="O53" s="50" t="s">
        <v>13</v>
      </c>
      <c r="P53" s="50" t="s">
        <v>13</v>
      </c>
      <c r="Q53" s="53" t="s">
        <v>152</v>
      </c>
      <c r="R53" s="126" t="s">
        <v>432</v>
      </c>
      <c r="S53" s="52" t="s">
        <v>13</v>
      </c>
      <c r="T53" s="52" t="s">
        <v>13</v>
      </c>
      <c r="U53" s="53" t="s">
        <v>152</v>
      </c>
      <c r="V53" s="52" t="s">
        <v>81</v>
      </c>
      <c r="W53" s="60" t="s">
        <v>13</v>
      </c>
      <c r="X53" s="60" t="s">
        <v>13</v>
      </c>
      <c r="Y53" s="180" t="s">
        <v>152</v>
      </c>
      <c r="Z53" s="126" t="s">
        <v>417</v>
      </c>
      <c r="AA53" s="52"/>
      <c r="AB53" s="52"/>
      <c r="AC53" s="52"/>
      <c r="AD53" s="126" t="s">
        <v>426</v>
      </c>
      <c r="AE53" s="52"/>
      <c r="AF53" s="52"/>
      <c r="AG53" s="52"/>
      <c r="AH53" s="126" t="s">
        <v>426</v>
      </c>
      <c r="AI53" s="50" t="s">
        <v>13</v>
      </c>
      <c r="AJ53" s="50" t="s">
        <v>13</v>
      </c>
      <c r="AK53" s="53" t="s">
        <v>152</v>
      </c>
      <c r="AL53" s="52" t="s">
        <v>81</v>
      </c>
      <c r="AM53" s="50" t="s">
        <v>13</v>
      </c>
      <c r="AN53" s="50" t="s">
        <v>13</v>
      </c>
      <c r="AO53" s="53" t="s">
        <v>152</v>
      </c>
      <c r="AP53" s="52" t="s">
        <v>81</v>
      </c>
      <c r="AQ53" s="60" t="s">
        <v>13</v>
      </c>
      <c r="AR53" s="60" t="s">
        <v>13</v>
      </c>
      <c r="AS53" s="53" t="s">
        <v>152</v>
      </c>
      <c r="AT53" s="52"/>
      <c r="AU53" s="126" t="s">
        <v>420</v>
      </c>
      <c r="AV53" s="52"/>
      <c r="AW53" s="52"/>
      <c r="AX53" s="52"/>
      <c r="AY53" s="52" t="s">
        <v>204</v>
      </c>
      <c r="AZ53" s="52"/>
      <c r="BA53" s="52"/>
      <c r="BB53" s="52"/>
      <c r="BC53" s="52" t="s">
        <v>204</v>
      </c>
      <c r="BD53" s="52"/>
      <c r="BE53" s="52"/>
      <c r="BF53" s="52"/>
      <c r="BG53" s="52" t="s">
        <v>81</v>
      </c>
      <c r="BH53" s="50" t="s">
        <v>13</v>
      </c>
      <c r="BI53" s="50" t="s">
        <v>13</v>
      </c>
      <c r="BJ53" s="53" t="s">
        <v>152</v>
      </c>
      <c r="BK53" s="123" t="s">
        <v>421</v>
      </c>
      <c r="BL53" s="52"/>
      <c r="BM53" s="52"/>
    </row>
    <row r="54" spans="1:65" s="232" customFormat="1" ht="39.6" customHeight="1">
      <c r="A54" s="233" t="s">
        <v>295</v>
      </c>
      <c r="B54" s="234" t="s">
        <v>433</v>
      </c>
      <c r="C54" s="235" t="s">
        <v>68</v>
      </c>
      <c r="D54" s="236"/>
      <c r="E54" s="234" t="s">
        <v>434</v>
      </c>
      <c r="F54" s="236" t="s">
        <v>435</v>
      </c>
      <c r="G54" s="227">
        <v>4</v>
      </c>
      <c r="H54" s="217" t="s">
        <v>60</v>
      </c>
      <c r="I54" s="228" t="s">
        <v>436</v>
      </c>
      <c r="J54" s="227"/>
      <c r="K54" s="217"/>
      <c r="L54" s="217"/>
      <c r="M54" s="227"/>
      <c r="N54" s="227"/>
      <c r="O54" s="227"/>
      <c r="P54" s="227"/>
      <c r="Q54" s="227"/>
      <c r="R54" s="228" t="s">
        <v>437</v>
      </c>
      <c r="T54" s="227"/>
      <c r="U54" s="227"/>
      <c r="V54" s="227"/>
      <c r="W54" s="227"/>
      <c r="X54" s="227"/>
      <c r="Y54" s="227"/>
      <c r="Z54" s="228" t="s">
        <v>438</v>
      </c>
      <c r="AA54" s="227"/>
      <c r="AB54" s="227"/>
      <c r="AC54" s="227"/>
      <c r="AD54" s="228" t="s">
        <v>438</v>
      </c>
      <c r="AE54" s="227"/>
      <c r="AF54" s="227"/>
      <c r="AG54" s="227"/>
      <c r="AH54" s="227"/>
      <c r="AI54" s="227"/>
      <c r="AJ54" s="227"/>
      <c r="AK54" s="227"/>
      <c r="AL54" s="237" t="s">
        <v>439</v>
      </c>
      <c r="AM54" s="217"/>
      <c r="AN54" s="217"/>
      <c r="AO54" s="227"/>
      <c r="AP54" s="237" t="s">
        <v>439</v>
      </c>
      <c r="AQ54" s="217"/>
      <c r="AR54" s="217"/>
      <c r="AS54" s="227"/>
      <c r="AT54" s="227"/>
      <c r="AU54" s="228" t="s">
        <v>440</v>
      </c>
      <c r="AV54" s="227"/>
      <c r="AW54" s="227"/>
      <c r="AX54" s="227"/>
      <c r="AY54" s="183" t="s">
        <v>441</v>
      </c>
      <c r="AZ54" s="227"/>
      <c r="BA54" s="227"/>
      <c r="BB54" s="227"/>
      <c r="BC54" s="227"/>
      <c r="BD54" s="227"/>
      <c r="BE54" s="227"/>
      <c r="BF54" s="227"/>
      <c r="BG54" s="183" t="s">
        <v>441</v>
      </c>
      <c r="BH54" s="217"/>
      <c r="BI54" s="217"/>
      <c r="BJ54" s="227"/>
      <c r="BK54" s="227"/>
      <c r="BL54" s="227"/>
      <c r="BM54" s="227"/>
    </row>
    <row r="55" spans="1:65" ht="39.6" customHeight="1">
      <c r="A55" s="52"/>
      <c r="B55" s="52"/>
      <c r="C55" s="52"/>
      <c r="D55" s="52"/>
      <c r="E55" s="52"/>
      <c r="F55" s="52"/>
      <c r="G55" s="52"/>
      <c r="H55" s="84"/>
      <c r="I55" s="169"/>
      <c r="J55" s="52">
        <f>COUNTIF(J2:J54,"Y")</f>
        <v>0</v>
      </c>
      <c r="K55" s="52">
        <f t="shared" ref="K55:BM55" si="0">COUNTIF(K2:K54,"Y")</f>
        <v>0</v>
      </c>
      <c r="L55" s="52">
        <f t="shared" si="0"/>
        <v>0</v>
      </c>
      <c r="M55" s="52">
        <f t="shared" si="0"/>
        <v>0</v>
      </c>
      <c r="N55" s="52">
        <f t="shared" si="0"/>
        <v>0</v>
      </c>
      <c r="O55" s="52">
        <f t="shared" si="0"/>
        <v>0</v>
      </c>
      <c r="P55" s="52">
        <f t="shared" si="0"/>
        <v>0</v>
      </c>
      <c r="Q55" s="52">
        <f t="shared" si="0"/>
        <v>0</v>
      </c>
      <c r="R55" s="52">
        <f t="shared" si="0"/>
        <v>0</v>
      </c>
      <c r="S55" s="52">
        <f t="shared" si="0"/>
        <v>0</v>
      </c>
      <c r="T55" s="52">
        <f t="shared" si="0"/>
        <v>0</v>
      </c>
      <c r="U55" s="52">
        <f t="shared" si="0"/>
        <v>0</v>
      </c>
      <c r="V55" s="52">
        <f t="shared" si="0"/>
        <v>0</v>
      </c>
      <c r="W55" s="52">
        <f t="shared" si="0"/>
        <v>0</v>
      </c>
      <c r="X55" s="52">
        <f t="shared" si="0"/>
        <v>0</v>
      </c>
      <c r="Y55" s="52">
        <f t="shared" si="0"/>
        <v>0</v>
      </c>
      <c r="Z55" s="52">
        <f t="shared" si="0"/>
        <v>0</v>
      </c>
      <c r="AA55" s="52">
        <f t="shared" si="0"/>
        <v>0</v>
      </c>
      <c r="AB55" s="52">
        <f t="shared" si="0"/>
        <v>0</v>
      </c>
      <c r="AC55" s="52">
        <f t="shared" si="0"/>
        <v>0</v>
      </c>
      <c r="AD55" s="52">
        <f t="shared" si="0"/>
        <v>0</v>
      </c>
      <c r="AE55" s="52">
        <f t="shared" si="0"/>
        <v>0</v>
      </c>
      <c r="AF55" s="52">
        <f t="shared" si="0"/>
        <v>0</v>
      </c>
      <c r="AG55" s="52">
        <f t="shared" si="0"/>
        <v>0</v>
      </c>
      <c r="AH55" s="52">
        <f t="shared" si="0"/>
        <v>0</v>
      </c>
      <c r="AI55" s="52">
        <f t="shared" si="0"/>
        <v>0</v>
      </c>
      <c r="AJ55" s="52">
        <f t="shared" si="0"/>
        <v>0</v>
      </c>
      <c r="AK55" s="52">
        <f t="shared" si="0"/>
        <v>0</v>
      </c>
      <c r="AL55" s="52">
        <f t="shared" si="0"/>
        <v>0</v>
      </c>
      <c r="AM55" s="52">
        <f t="shared" si="0"/>
        <v>0</v>
      </c>
      <c r="AN55" s="52">
        <f t="shared" si="0"/>
        <v>0</v>
      </c>
      <c r="AO55" s="52">
        <f t="shared" si="0"/>
        <v>0</v>
      </c>
      <c r="AP55" s="52">
        <f t="shared" si="0"/>
        <v>0</v>
      </c>
      <c r="AQ55" s="52">
        <f t="shared" si="0"/>
        <v>0</v>
      </c>
      <c r="AR55" s="52">
        <f t="shared" si="0"/>
        <v>3</v>
      </c>
      <c r="AS55" s="52">
        <f t="shared" si="0"/>
        <v>0</v>
      </c>
      <c r="AT55" s="52">
        <f t="shared" si="0"/>
        <v>0</v>
      </c>
      <c r="AU55" s="52">
        <f t="shared" si="0"/>
        <v>0</v>
      </c>
      <c r="AV55" s="52">
        <f t="shared" si="0"/>
        <v>0</v>
      </c>
      <c r="AW55" s="52">
        <f t="shared" si="0"/>
        <v>1</v>
      </c>
      <c r="AX55" s="52">
        <f t="shared" si="0"/>
        <v>0</v>
      </c>
      <c r="AY55" s="52">
        <f t="shared" si="0"/>
        <v>0</v>
      </c>
      <c r="AZ55" s="52">
        <f t="shared" si="0"/>
        <v>0</v>
      </c>
      <c r="BA55" s="52">
        <f t="shared" si="0"/>
        <v>0</v>
      </c>
      <c r="BB55" s="52">
        <f t="shared" si="0"/>
        <v>0</v>
      </c>
      <c r="BC55" s="52">
        <f t="shared" si="0"/>
        <v>0</v>
      </c>
      <c r="BD55" s="52">
        <f t="shared" si="0"/>
        <v>0</v>
      </c>
      <c r="BE55" s="52">
        <f t="shared" si="0"/>
        <v>0</v>
      </c>
      <c r="BF55" s="52">
        <f t="shared" si="0"/>
        <v>0</v>
      </c>
      <c r="BG55" s="52">
        <f t="shared" si="0"/>
        <v>0</v>
      </c>
      <c r="BH55" s="52">
        <f t="shared" si="0"/>
        <v>0</v>
      </c>
      <c r="BI55" s="52">
        <f t="shared" si="0"/>
        <v>0</v>
      </c>
      <c r="BJ55" s="52">
        <f t="shared" si="0"/>
        <v>0</v>
      </c>
      <c r="BK55" s="52">
        <f t="shared" si="0"/>
        <v>0</v>
      </c>
      <c r="BL55" s="52">
        <f t="shared" si="0"/>
        <v>0</v>
      </c>
      <c r="BM55" s="52">
        <f t="shared" si="0"/>
        <v>0</v>
      </c>
    </row>
    <row r="56" spans="1:65" ht="39.6" customHeight="1">
      <c r="A56" s="52"/>
      <c r="B56" s="52"/>
      <c r="C56" s="52"/>
      <c r="D56" s="52"/>
      <c r="E56" s="52"/>
      <c r="F56" s="52"/>
      <c r="G56" s="52"/>
      <c r="H56" s="84"/>
      <c r="I56" s="169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</row>
    <row r="57" spans="1:65" ht="39.6" customHeight="1">
      <c r="A57" s="52"/>
      <c r="B57" s="52"/>
      <c r="C57" s="52"/>
      <c r="D57" s="52"/>
      <c r="E57" s="52"/>
      <c r="F57" s="52"/>
      <c r="G57" s="52"/>
      <c r="H57" s="84"/>
      <c r="I57" s="169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</row>
    <row r="58" spans="1:65" ht="39.6" customHeight="1">
      <c r="A58" s="52"/>
      <c r="B58" s="52"/>
      <c r="C58" s="52"/>
      <c r="D58" s="52"/>
      <c r="E58" s="52"/>
      <c r="F58" s="52"/>
      <c r="G58" s="52"/>
      <c r="H58" s="84"/>
      <c r="I58" s="169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</row>
    <row r="59" spans="1:65" ht="39.6" customHeight="1">
      <c r="A59" s="52"/>
      <c r="B59" s="52"/>
      <c r="C59" s="52"/>
      <c r="D59" s="52"/>
      <c r="E59" s="52"/>
      <c r="F59" s="52"/>
      <c r="G59" s="52"/>
      <c r="H59" s="84"/>
      <c r="I59" s="169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</row>
    <row r="60" spans="1:65" ht="39.6" customHeight="1">
      <c r="A60" s="52"/>
      <c r="B60" s="52"/>
      <c r="C60" s="52"/>
      <c r="D60" s="52"/>
      <c r="E60" s="52"/>
      <c r="F60" s="52"/>
      <c r="G60" s="52"/>
      <c r="H60" s="84"/>
      <c r="I60" s="169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</row>
    <row r="61" spans="1:65" ht="39.6" customHeight="1">
      <c r="A61" s="52"/>
      <c r="B61" s="52"/>
      <c r="C61" s="52"/>
      <c r="D61" s="52"/>
      <c r="E61" s="52"/>
      <c r="F61" s="52"/>
      <c r="G61" s="52"/>
      <c r="H61" s="84"/>
      <c r="I61" s="169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</row>
    <row r="62" spans="1:65" ht="39.6" customHeight="1">
      <c r="A62" s="52"/>
      <c r="B62" s="52"/>
      <c r="C62" s="52"/>
      <c r="D62" s="52"/>
      <c r="E62" s="52"/>
      <c r="F62" s="52"/>
      <c r="G62" s="52"/>
      <c r="H62" s="84"/>
      <c r="I62" s="169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</row>
    <row r="63" spans="1:65" ht="39.6" customHeight="1">
      <c r="A63" s="52"/>
      <c r="B63" s="52"/>
      <c r="C63" s="52"/>
      <c r="D63" s="52"/>
      <c r="E63" s="52"/>
      <c r="F63" s="52"/>
      <c r="G63" s="52"/>
      <c r="H63" s="84"/>
      <c r="I63" s="169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</row>
    <row r="64" spans="1:65" ht="39.6" customHeight="1">
      <c r="A64" s="52"/>
      <c r="B64" s="52"/>
      <c r="C64" s="52"/>
      <c r="D64" s="52"/>
      <c r="E64" s="52"/>
      <c r="F64" s="52"/>
      <c r="G64" s="52"/>
      <c r="H64" s="84"/>
      <c r="I64" s="169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</row>
    <row r="65" spans="8:8" ht="39.6" customHeight="1">
      <c r="H65" s="99"/>
    </row>
    <row r="66" spans="8:8" ht="39.6" customHeight="1">
      <c r="H66" s="99"/>
    </row>
    <row r="67" spans="8:8" ht="39.6" customHeight="1">
      <c r="H67" s="99"/>
    </row>
    <row r="68" spans="8:8" ht="39.6" customHeight="1">
      <c r="H68" s="99"/>
    </row>
  </sheetData>
  <autoFilter ref="A1:BM55" xr:uid="{5F17E892-19CB-4FF7-AD62-CB2976D665BD}"/>
  <phoneticPr fontId="5" type="noConversion"/>
  <conditionalFormatting sqref="J1:BJ1">
    <cfRule type="expression" dxfId="64" priority="3">
      <formula>J1&lt;&gt;#REF!</formula>
    </cfRule>
  </conditionalFormatting>
  <conditionalFormatting sqref="A24:X27 A35:X35 A52:X53 Z52:BM53 Z24:BM27 Z35:BM35 A54:AK54 AM54:AO54 AQ54:BM54 A16:X19 Z16:BM19 A36:BM51 A20:BM23 A28:BM34 A1:BM15 A55:BM1048576">
    <cfRule type="cellIs" dxfId="63" priority="1" operator="equal">
      <formula>"fail"</formula>
    </cfRule>
    <cfRule type="cellIs" dxfId="62" priority="2" operator="equal">
      <formula>"pass"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42D09-1FBB-44C4-8A4D-D5C87CA2C5C9}">
  <dimension ref="A1:W26"/>
  <sheetViews>
    <sheetView showGridLines="0" workbookViewId="0">
      <selection activeCell="B30" sqref="B30"/>
    </sheetView>
  </sheetViews>
  <sheetFormatPr defaultRowHeight="14.25"/>
  <cols>
    <col min="5" max="5" width="53.5" customWidth="1"/>
    <col min="7" max="7" width="51.875" customWidth="1"/>
    <col min="8" max="23" width="23.125" customWidth="1"/>
  </cols>
  <sheetData>
    <row r="1" spans="1:23" ht="152.25">
      <c r="A1" s="132" t="s">
        <v>442</v>
      </c>
      <c r="B1" s="132" t="s">
        <v>1</v>
      </c>
      <c r="C1" s="132" t="s">
        <v>443</v>
      </c>
      <c r="D1" s="132" t="s">
        <v>444</v>
      </c>
      <c r="E1" s="132" t="s">
        <v>445</v>
      </c>
      <c r="F1" s="132" t="s">
        <v>446</v>
      </c>
      <c r="G1" s="132" t="s">
        <v>11</v>
      </c>
      <c r="H1" s="326" t="s">
        <v>447</v>
      </c>
      <c r="I1" s="326" t="s">
        <v>448</v>
      </c>
      <c r="J1" s="326" t="s">
        <v>449</v>
      </c>
      <c r="K1" s="326" t="s">
        <v>450</v>
      </c>
      <c r="L1" s="326" t="s">
        <v>451</v>
      </c>
      <c r="M1" s="326" t="s">
        <v>452</v>
      </c>
      <c r="N1" s="326" t="s">
        <v>453</v>
      </c>
      <c r="O1" s="326" t="s">
        <v>454</v>
      </c>
      <c r="P1" s="326" t="s">
        <v>455</v>
      </c>
      <c r="Q1" s="326" t="s">
        <v>456</v>
      </c>
      <c r="R1" s="326" t="s">
        <v>457</v>
      </c>
      <c r="S1" s="326" t="s">
        <v>458</v>
      </c>
      <c r="T1" s="326" t="s">
        <v>459</v>
      </c>
      <c r="U1" s="132" t="s">
        <v>460</v>
      </c>
      <c r="V1" s="132" t="s">
        <v>461</v>
      </c>
      <c r="W1" s="132" t="s">
        <v>462</v>
      </c>
    </row>
    <row r="2" spans="1:23" ht="69.75" hidden="1" customHeight="1">
      <c r="A2" s="327" t="s">
        <v>360</v>
      </c>
      <c r="B2" s="111" t="s">
        <v>463</v>
      </c>
      <c r="C2" s="328" t="s">
        <v>68</v>
      </c>
      <c r="D2" s="64" t="s">
        <v>382</v>
      </c>
      <c r="E2" s="111" t="s">
        <v>383</v>
      </c>
      <c r="F2" s="74" t="s">
        <v>464</v>
      </c>
      <c r="G2" s="329" t="s">
        <v>465</v>
      </c>
      <c r="H2" s="330" t="s">
        <v>466</v>
      </c>
      <c r="I2" s="331" t="s">
        <v>467</v>
      </c>
      <c r="J2" s="330" t="s">
        <v>468</v>
      </c>
      <c r="K2" s="332" t="s">
        <v>469</v>
      </c>
      <c r="L2" s="330" t="s">
        <v>470</v>
      </c>
      <c r="M2" s="333" t="s">
        <v>471</v>
      </c>
      <c r="N2" s="333" t="s">
        <v>471</v>
      </c>
      <c r="O2" s="334" t="s">
        <v>469</v>
      </c>
      <c r="P2" s="334" t="s">
        <v>469</v>
      </c>
      <c r="Q2" s="333" t="s">
        <v>472</v>
      </c>
      <c r="R2" s="335" t="s">
        <v>204</v>
      </c>
      <c r="S2" s="336" t="s">
        <v>469</v>
      </c>
      <c r="T2" s="337" t="s">
        <v>469</v>
      </c>
      <c r="U2" s="338" t="s">
        <v>473</v>
      </c>
      <c r="V2" s="73" t="s">
        <v>170</v>
      </c>
      <c r="W2" s="140">
        <v>20250710</v>
      </c>
    </row>
    <row r="3" spans="1:23" ht="69.75" hidden="1" customHeight="1">
      <c r="A3" s="327" t="s">
        <v>360</v>
      </c>
      <c r="B3" s="339" t="s">
        <v>474</v>
      </c>
      <c r="C3" s="328" t="s">
        <v>56</v>
      </c>
      <c r="D3" s="64"/>
      <c r="E3" s="339" t="s">
        <v>475</v>
      </c>
      <c r="F3" s="46" t="s">
        <v>425</v>
      </c>
      <c r="G3" s="125" t="s">
        <v>476</v>
      </c>
      <c r="H3" s="340" t="s">
        <v>477</v>
      </c>
      <c r="I3" s="340" t="s">
        <v>477</v>
      </c>
      <c r="J3" s="340" t="s">
        <v>478</v>
      </c>
      <c r="K3" s="340" t="s">
        <v>469</v>
      </c>
      <c r="L3" s="340" t="s">
        <v>479</v>
      </c>
      <c r="M3" s="340" t="s">
        <v>480</v>
      </c>
      <c r="N3" s="340" t="s">
        <v>480</v>
      </c>
      <c r="O3" s="334" t="s">
        <v>469</v>
      </c>
      <c r="P3" s="334" t="s">
        <v>469</v>
      </c>
      <c r="Q3" s="340" t="s">
        <v>481</v>
      </c>
      <c r="R3" s="340" t="s">
        <v>204</v>
      </c>
      <c r="S3" s="73" t="s">
        <v>204</v>
      </c>
      <c r="T3" s="73" t="s">
        <v>204</v>
      </c>
      <c r="U3" s="338" t="s">
        <v>482</v>
      </c>
      <c r="V3" s="73" t="s">
        <v>170</v>
      </c>
      <c r="W3" s="140">
        <v>20250710</v>
      </c>
    </row>
    <row r="4" spans="1:23" ht="69.75" hidden="1" customHeight="1">
      <c r="A4" s="327" t="s">
        <v>360</v>
      </c>
      <c r="B4" s="111" t="s">
        <v>483</v>
      </c>
      <c r="C4" s="341" t="s">
        <v>56</v>
      </c>
      <c r="D4" s="64" t="s">
        <v>484</v>
      </c>
      <c r="E4" s="111" t="s">
        <v>411</v>
      </c>
      <c r="F4" s="46" t="s">
        <v>485</v>
      </c>
      <c r="G4" s="125" t="s">
        <v>476</v>
      </c>
      <c r="H4" s="340" t="s">
        <v>477</v>
      </c>
      <c r="I4" s="340" t="s">
        <v>477</v>
      </c>
      <c r="J4" s="340" t="s">
        <v>478</v>
      </c>
      <c r="K4" s="340" t="s">
        <v>469</v>
      </c>
      <c r="L4" s="340" t="s">
        <v>479</v>
      </c>
      <c r="M4" s="340" t="s">
        <v>480</v>
      </c>
      <c r="N4" s="340" t="s">
        <v>480</v>
      </c>
      <c r="O4" s="340" t="s">
        <v>204</v>
      </c>
      <c r="P4" s="340" t="s">
        <v>204</v>
      </c>
      <c r="Q4" s="340" t="s">
        <v>481</v>
      </c>
      <c r="R4" s="342" t="s">
        <v>204</v>
      </c>
      <c r="S4" s="343" t="s">
        <v>204</v>
      </c>
      <c r="T4" s="73" t="s">
        <v>204</v>
      </c>
      <c r="U4" s="338" t="s">
        <v>482</v>
      </c>
      <c r="V4" s="73" t="s">
        <v>170</v>
      </c>
      <c r="W4" s="140">
        <v>20250710</v>
      </c>
    </row>
    <row r="5" spans="1:23" ht="69.75" hidden="1" customHeight="1">
      <c r="A5" s="327" t="s">
        <v>360</v>
      </c>
      <c r="B5" s="111" t="s">
        <v>486</v>
      </c>
      <c r="C5" s="341" t="s">
        <v>56</v>
      </c>
      <c r="D5" s="64" t="s">
        <v>487</v>
      </c>
      <c r="E5" s="111" t="s">
        <v>488</v>
      </c>
      <c r="F5" s="46" t="s">
        <v>425</v>
      </c>
      <c r="G5" s="125" t="s">
        <v>476</v>
      </c>
      <c r="H5" s="340" t="s">
        <v>477</v>
      </c>
      <c r="I5" s="340" t="s">
        <v>477</v>
      </c>
      <c r="J5" s="340" t="s">
        <v>478</v>
      </c>
      <c r="K5" s="340" t="s">
        <v>469</v>
      </c>
      <c r="L5" s="340" t="s">
        <v>479</v>
      </c>
      <c r="M5" s="340" t="s">
        <v>480</v>
      </c>
      <c r="N5" s="340" t="s">
        <v>480</v>
      </c>
      <c r="O5" s="340" t="s">
        <v>204</v>
      </c>
      <c r="P5" s="340" t="s">
        <v>204</v>
      </c>
      <c r="Q5" s="340" t="s">
        <v>481</v>
      </c>
      <c r="R5" s="342" t="s">
        <v>204</v>
      </c>
      <c r="S5" s="343" t="s">
        <v>204</v>
      </c>
      <c r="T5" s="73" t="s">
        <v>204</v>
      </c>
      <c r="U5" s="338" t="s">
        <v>482</v>
      </c>
      <c r="V5" s="73" t="s">
        <v>170</v>
      </c>
      <c r="W5" s="140">
        <v>20250710</v>
      </c>
    </row>
    <row r="6" spans="1:23" ht="69.75" hidden="1" customHeight="1">
      <c r="A6" s="327" t="s">
        <v>360</v>
      </c>
      <c r="B6" s="111" t="s">
        <v>489</v>
      </c>
      <c r="C6" s="341" t="s">
        <v>56</v>
      </c>
      <c r="D6" s="64"/>
      <c r="E6" s="111" t="s">
        <v>488</v>
      </c>
      <c r="F6" s="46" t="s">
        <v>425</v>
      </c>
      <c r="G6" s="125" t="s">
        <v>476</v>
      </c>
      <c r="H6" s="340" t="s">
        <v>477</v>
      </c>
      <c r="I6" s="340" t="s">
        <v>477</v>
      </c>
      <c r="J6" s="340" t="s">
        <v>478</v>
      </c>
      <c r="K6" s="340" t="s">
        <v>469</v>
      </c>
      <c r="L6" s="340" t="s">
        <v>479</v>
      </c>
      <c r="M6" s="340" t="s">
        <v>480</v>
      </c>
      <c r="N6" s="340" t="s">
        <v>480</v>
      </c>
      <c r="O6" s="340" t="s">
        <v>204</v>
      </c>
      <c r="P6" s="340" t="s">
        <v>204</v>
      </c>
      <c r="Q6" s="340" t="s">
        <v>481</v>
      </c>
      <c r="R6" s="342" t="s">
        <v>204</v>
      </c>
      <c r="S6" s="343" t="s">
        <v>204</v>
      </c>
      <c r="T6" s="73" t="s">
        <v>204</v>
      </c>
      <c r="U6" s="338" t="s">
        <v>482</v>
      </c>
      <c r="V6" s="73" t="s">
        <v>170</v>
      </c>
      <c r="W6" s="140">
        <v>20250710</v>
      </c>
    </row>
    <row r="7" spans="1:23" ht="69.75" hidden="1" customHeight="1">
      <c r="A7" s="327" t="s">
        <v>360</v>
      </c>
      <c r="B7" s="111" t="s">
        <v>490</v>
      </c>
      <c r="C7" s="328" t="s">
        <v>56</v>
      </c>
      <c r="D7" s="64"/>
      <c r="E7" s="111" t="s">
        <v>424</v>
      </c>
      <c r="F7" s="46" t="s">
        <v>425</v>
      </c>
      <c r="G7" s="125" t="s">
        <v>476</v>
      </c>
      <c r="H7" s="340" t="s">
        <v>477</v>
      </c>
      <c r="I7" s="340" t="s">
        <v>477</v>
      </c>
      <c r="J7" s="340" t="s">
        <v>478</v>
      </c>
      <c r="K7" s="340" t="s">
        <v>469</v>
      </c>
      <c r="L7" s="340" t="s">
        <v>479</v>
      </c>
      <c r="M7" s="340" t="s">
        <v>480</v>
      </c>
      <c r="N7" s="340" t="s">
        <v>480</v>
      </c>
      <c r="O7" s="340" t="s">
        <v>204</v>
      </c>
      <c r="P7" s="340" t="s">
        <v>204</v>
      </c>
      <c r="Q7" s="340" t="s">
        <v>481</v>
      </c>
      <c r="R7" s="342" t="s">
        <v>204</v>
      </c>
      <c r="S7" s="343" t="s">
        <v>204</v>
      </c>
      <c r="T7" s="73" t="s">
        <v>204</v>
      </c>
      <c r="U7" s="338" t="s">
        <v>482</v>
      </c>
      <c r="V7" s="73" t="s">
        <v>170</v>
      </c>
      <c r="W7" s="140">
        <v>20250710</v>
      </c>
    </row>
    <row r="8" spans="1:23" ht="69.75" hidden="1" customHeight="1">
      <c r="A8" s="327" t="s">
        <v>360</v>
      </c>
      <c r="B8" s="111" t="s">
        <v>422</v>
      </c>
      <c r="C8" s="328" t="s">
        <v>56</v>
      </c>
      <c r="D8" s="64" t="s">
        <v>423</v>
      </c>
      <c r="E8" s="111" t="s">
        <v>424</v>
      </c>
      <c r="F8" s="46" t="s">
        <v>425</v>
      </c>
      <c r="G8" s="125" t="s">
        <v>476</v>
      </c>
      <c r="H8" s="340" t="s">
        <v>477</v>
      </c>
      <c r="I8" s="340" t="s">
        <v>477</v>
      </c>
      <c r="J8" s="340" t="s">
        <v>478</v>
      </c>
      <c r="K8" s="340" t="s">
        <v>469</v>
      </c>
      <c r="L8" s="340" t="s">
        <v>479</v>
      </c>
      <c r="M8" s="340" t="s">
        <v>480</v>
      </c>
      <c r="N8" s="340" t="s">
        <v>480</v>
      </c>
      <c r="O8" s="340" t="s">
        <v>204</v>
      </c>
      <c r="P8" s="340" t="s">
        <v>204</v>
      </c>
      <c r="Q8" s="340" t="s">
        <v>481</v>
      </c>
      <c r="R8" s="342" t="s">
        <v>204</v>
      </c>
      <c r="S8" s="343" t="s">
        <v>204</v>
      </c>
      <c r="T8" s="73" t="s">
        <v>204</v>
      </c>
      <c r="U8" s="338" t="s">
        <v>482</v>
      </c>
      <c r="V8" s="73" t="s">
        <v>170</v>
      </c>
      <c r="W8" s="140">
        <v>20250710</v>
      </c>
    </row>
    <row r="9" spans="1:23" ht="69.75" hidden="1" customHeight="1">
      <c r="A9" s="327" t="s">
        <v>360</v>
      </c>
      <c r="B9" s="111" t="s">
        <v>491</v>
      </c>
      <c r="C9" s="328" t="s">
        <v>56</v>
      </c>
      <c r="D9" s="64"/>
      <c r="E9" s="111" t="s">
        <v>492</v>
      </c>
      <c r="F9" s="46" t="s">
        <v>425</v>
      </c>
      <c r="G9" s="125" t="s">
        <v>476</v>
      </c>
      <c r="H9" s="340" t="s">
        <v>477</v>
      </c>
      <c r="I9" s="340" t="s">
        <v>477</v>
      </c>
      <c r="J9" s="340" t="s">
        <v>478</v>
      </c>
      <c r="K9" s="340" t="s">
        <v>469</v>
      </c>
      <c r="L9" s="340" t="s">
        <v>479</v>
      </c>
      <c r="M9" s="340" t="s">
        <v>480</v>
      </c>
      <c r="N9" s="340" t="s">
        <v>480</v>
      </c>
      <c r="O9" s="340" t="s">
        <v>204</v>
      </c>
      <c r="P9" s="340" t="s">
        <v>204</v>
      </c>
      <c r="Q9" s="340" t="s">
        <v>481</v>
      </c>
      <c r="R9" s="342" t="s">
        <v>204</v>
      </c>
      <c r="S9" s="343" t="s">
        <v>204</v>
      </c>
      <c r="T9" s="73" t="s">
        <v>204</v>
      </c>
      <c r="U9" s="338" t="s">
        <v>482</v>
      </c>
      <c r="V9" s="73" t="s">
        <v>170</v>
      </c>
      <c r="W9" s="140">
        <v>20250710</v>
      </c>
    </row>
    <row r="10" spans="1:23" ht="69.75" hidden="1" customHeight="1">
      <c r="A10" s="327" t="s">
        <v>360</v>
      </c>
      <c r="B10" s="111" t="s">
        <v>493</v>
      </c>
      <c r="C10" s="328" t="s">
        <v>56</v>
      </c>
      <c r="D10" s="64"/>
      <c r="E10" s="111" t="s">
        <v>492</v>
      </c>
      <c r="F10" s="46" t="s">
        <v>485</v>
      </c>
      <c r="G10" s="125" t="s">
        <v>476</v>
      </c>
      <c r="H10" s="340" t="s">
        <v>477</v>
      </c>
      <c r="I10" s="340" t="s">
        <v>477</v>
      </c>
      <c r="J10" s="340" t="s">
        <v>478</v>
      </c>
      <c r="K10" s="340" t="s">
        <v>469</v>
      </c>
      <c r="L10" s="340" t="s">
        <v>479</v>
      </c>
      <c r="M10" s="340" t="s">
        <v>480</v>
      </c>
      <c r="N10" s="340" t="s">
        <v>480</v>
      </c>
      <c r="O10" s="340" t="s">
        <v>204</v>
      </c>
      <c r="P10" s="340" t="s">
        <v>204</v>
      </c>
      <c r="Q10" s="340" t="s">
        <v>481</v>
      </c>
      <c r="R10" s="342" t="s">
        <v>204</v>
      </c>
      <c r="S10" s="343" t="s">
        <v>204</v>
      </c>
      <c r="T10" s="73" t="s">
        <v>204</v>
      </c>
      <c r="U10" s="338" t="s">
        <v>482</v>
      </c>
      <c r="V10" s="73" t="s">
        <v>170</v>
      </c>
      <c r="W10" s="140">
        <v>20250710</v>
      </c>
    </row>
    <row r="11" spans="1:23" ht="69.75" hidden="1" customHeight="1">
      <c r="A11" s="327" t="s">
        <v>360</v>
      </c>
      <c r="B11" s="111" t="s">
        <v>494</v>
      </c>
      <c r="C11" s="328" t="s">
        <v>56</v>
      </c>
      <c r="D11" s="64"/>
      <c r="E11" s="111" t="s">
        <v>429</v>
      </c>
      <c r="F11" s="46" t="s">
        <v>425</v>
      </c>
      <c r="G11" s="125" t="s">
        <v>476</v>
      </c>
      <c r="H11" s="340" t="s">
        <v>415</v>
      </c>
      <c r="I11" s="340" t="s">
        <v>415</v>
      </c>
      <c r="J11" s="340" t="s">
        <v>478</v>
      </c>
      <c r="K11" s="340" t="s">
        <v>469</v>
      </c>
      <c r="L11" s="340" t="s">
        <v>479</v>
      </c>
      <c r="M11" s="340" t="s">
        <v>480</v>
      </c>
      <c r="N11" s="340" t="s">
        <v>480</v>
      </c>
      <c r="O11" s="340" t="s">
        <v>204</v>
      </c>
      <c r="P11" s="340" t="s">
        <v>204</v>
      </c>
      <c r="Q11" s="340" t="s">
        <v>481</v>
      </c>
      <c r="R11" s="342" t="s">
        <v>204</v>
      </c>
      <c r="S11" s="343" t="s">
        <v>204</v>
      </c>
      <c r="T11" s="73" t="s">
        <v>204</v>
      </c>
      <c r="U11" s="338" t="s">
        <v>482</v>
      </c>
      <c r="V11" s="73" t="s">
        <v>170</v>
      </c>
      <c r="W11" s="140">
        <v>20250710</v>
      </c>
    </row>
    <row r="12" spans="1:23" ht="69.75" hidden="1" customHeight="1">
      <c r="A12" s="327" t="s">
        <v>360</v>
      </c>
      <c r="B12" s="111" t="s">
        <v>427</v>
      </c>
      <c r="C12" s="328" t="s">
        <v>56</v>
      </c>
      <c r="D12" s="64" t="s">
        <v>428</v>
      </c>
      <c r="E12" s="111" t="s">
        <v>429</v>
      </c>
      <c r="F12" s="46" t="s">
        <v>425</v>
      </c>
      <c r="G12" s="125" t="s">
        <v>476</v>
      </c>
      <c r="H12" s="340" t="s">
        <v>415</v>
      </c>
      <c r="I12" s="340" t="s">
        <v>415</v>
      </c>
      <c r="J12" s="340" t="s">
        <v>478</v>
      </c>
      <c r="K12" s="340" t="s">
        <v>469</v>
      </c>
      <c r="L12" s="340" t="s">
        <v>479</v>
      </c>
      <c r="M12" s="340" t="s">
        <v>480</v>
      </c>
      <c r="N12" s="340" t="s">
        <v>480</v>
      </c>
      <c r="O12" s="340" t="s">
        <v>204</v>
      </c>
      <c r="P12" s="340" t="s">
        <v>204</v>
      </c>
      <c r="Q12" s="340" t="s">
        <v>481</v>
      </c>
      <c r="R12" s="342" t="s">
        <v>204</v>
      </c>
      <c r="S12" s="343" t="s">
        <v>204</v>
      </c>
      <c r="T12" s="73" t="s">
        <v>204</v>
      </c>
      <c r="U12" s="338" t="s">
        <v>482</v>
      </c>
      <c r="V12" s="73" t="s">
        <v>170</v>
      </c>
      <c r="W12" s="140">
        <v>20250710</v>
      </c>
    </row>
    <row r="13" spans="1:23" ht="69.75" hidden="1" customHeight="1">
      <c r="A13" s="327" t="s">
        <v>146</v>
      </c>
      <c r="B13" s="111" t="s">
        <v>495</v>
      </c>
      <c r="C13" s="328" t="s">
        <v>56</v>
      </c>
      <c r="D13" s="64" t="s">
        <v>172</v>
      </c>
      <c r="E13" s="111" t="s">
        <v>173</v>
      </c>
      <c r="F13" s="46" t="s">
        <v>137</v>
      </c>
      <c r="G13" s="344" t="s">
        <v>496</v>
      </c>
      <c r="H13" s="345" t="s">
        <v>497</v>
      </c>
      <c r="I13" s="345" t="s">
        <v>498</v>
      </c>
      <c r="J13" s="129" t="s">
        <v>499</v>
      </c>
      <c r="K13" s="129" t="s">
        <v>499</v>
      </c>
      <c r="L13" s="346" t="s">
        <v>180</v>
      </c>
      <c r="M13" s="346" t="s">
        <v>181</v>
      </c>
      <c r="N13" s="129" t="s">
        <v>500</v>
      </c>
      <c r="O13" s="129" t="s">
        <v>500</v>
      </c>
      <c r="P13" s="129" t="s">
        <v>501</v>
      </c>
      <c r="Q13" s="333" t="s">
        <v>502</v>
      </c>
      <c r="R13" s="343" t="s">
        <v>204</v>
      </c>
      <c r="S13" s="343" t="s">
        <v>204</v>
      </c>
      <c r="T13" s="73" t="s">
        <v>469</v>
      </c>
      <c r="U13" s="136"/>
      <c r="V13" s="73" t="s">
        <v>170</v>
      </c>
      <c r="W13" s="140">
        <v>20250710</v>
      </c>
    </row>
    <row r="14" spans="1:23" ht="69.75" hidden="1" customHeight="1">
      <c r="A14" s="327" t="s">
        <v>146</v>
      </c>
      <c r="B14" s="111" t="s">
        <v>503</v>
      </c>
      <c r="C14" s="341" t="s">
        <v>56</v>
      </c>
      <c r="D14" s="64" t="s">
        <v>195</v>
      </c>
      <c r="E14" s="111" t="s">
        <v>196</v>
      </c>
      <c r="F14" s="46" t="s">
        <v>137</v>
      </c>
      <c r="G14" s="344" t="s">
        <v>504</v>
      </c>
      <c r="H14" s="345" t="s">
        <v>505</v>
      </c>
      <c r="I14" s="333" t="s">
        <v>506</v>
      </c>
      <c r="J14" s="129" t="s">
        <v>507</v>
      </c>
      <c r="K14" s="129" t="s">
        <v>507</v>
      </c>
      <c r="L14" s="333" t="s">
        <v>508</v>
      </c>
      <c r="M14" s="333" t="s">
        <v>509</v>
      </c>
      <c r="N14" s="129" t="s">
        <v>510</v>
      </c>
      <c r="O14" s="129" t="s">
        <v>510</v>
      </c>
      <c r="P14" s="129" t="s">
        <v>511</v>
      </c>
      <c r="Q14" s="333" t="s">
        <v>512</v>
      </c>
      <c r="R14" s="343" t="s">
        <v>204</v>
      </c>
      <c r="S14" s="343" t="s">
        <v>204</v>
      </c>
      <c r="T14" s="73" t="s">
        <v>469</v>
      </c>
      <c r="U14" s="136"/>
      <c r="V14" s="73" t="s">
        <v>170</v>
      </c>
      <c r="W14" s="140">
        <v>20250710</v>
      </c>
    </row>
    <row r="15" spans="1:23" ht="69.75" hidden="1" customHeight="1">
      <c r="A15" s="327" t="s">
        <v>146</v>
      </c>
      <c r="B15" s="111" t="s">
        <v>513</v>
      </c>
      <c r="C15" s="341" t="s">
        <v>56</v>
      </c>
      <c r="D15" s="64" t="s">
        <v>210</v>
      </c>
      <c r="E15" s="111" t="s">
        <v>514</v>
      </c>
      <c r="F15" s="46" t="s">
        <v>137</v>
      </c>
      <c r="G15" s="344" t="s">
        <v>504</v>
      </c>
      <c r="H15" s="345" t="s">
        <v>505</v>
      </c>
      <c r="I15" s="333" t="s">
        <v>506</v>
      </c>
      <c r="J15" s="129" t="s">
        <v>507</v>
      </c>
      <c r="K15" s="129" t="s">
        <v>507</v>
      </c>
      <c r="L15" s="333" t="s">
        <v>508</v>
      </c>
      <c r="M15" s="333" t="s">
        <v>509</v>
      </c>
      <c r="N15" s="129" t="s">
        <v>510</v>
      </c>
      <c r="O15" s="129" t="s">
        <v>510</v>
      </c>
      <c r="P15" s="129" t="s">
        <v>511</v>
      </c>
      <c r="Q15" s="333" t="s">
        <v>512</v>
      </c>
      <c r="R15" s="343" t="s">
        <v>204</v>
      </c>
      <c r="S15" s="343" t="s">
        <v>204</v>
      </c>
      <c r="T15" s="73" t="s">
        <v>469</v>
      </c>
      <c r="U15" s="136"/>
      <c r="V15" s="73" t="s">
        <v>170</v>
      </c>
      <c r="W15" s="140">
        <v>20250710</v>
      </c>
    </row>
    <row r="16" spans="1:23" ht="69.75" hidden="1" customHeight="1">
      <c r="A16" s="327" t="s">
        <v>146</v>
      </c>
      <c r="B16" s="111" t="s">
        <v>515</v>
      </c>
      <c r="C16" s="341" t="s">
        <v>56</v>
      </c>
      <c r="D16" s="64" t="s">
        <v>516</v>
      </c>
      <c r="E16" s="111" t="s">
        <v>517</v>
      </c>
      <c r="F16" s="46" t="s">
        <v>137</v>
      </c>
      <c r="G16" s="344" t="s">
        <v>518</v>
      </c>
      <c r="H16" s="345" t="s">
        <v>505</v>
      </c>
      <c r="I16" s="333" t="s">
        <v>506</v>
      </c>
      <c r="J16" s="129" t="s">
        <v>507</v>
      </c>
      <c r="K16" s="129" t="s">
        <v>507</v>
      </c>
      <c r="L16" s="333" t="s">
        <v>508</v>
      </c>
      <c r="M16" s="333" t="s">
        <v>509</v>
      </c>
      <c r="N16" s="129" t="s">
        <v>510</v>
      </c>
      <c r="O16" s="129" t="s">
        <v>510</v>
      </c>
      <c r="P16" s="129" t="s">
        <v>511</v>
      </c>
      <c r="Q16" s="333" t="s">
        <v>512</v>
      </c>
      <c r="R16" s="343" t="s">
        <v>204</v>
      </c>
      <c r="S16" s="343" t="s">
        <v>204</v>
      </c>
      <c r="T16" s="73" t="s">
        <v>469</v>
      </c>
      <c r="U16" s="136"/>
      <c r="V16" s="73" t="s">
        <v>170</v>
      </c>
      <c r="W16" s="140">
        <v>20250710</v>
      </c>
    </row>
    <row r="17" spans="1:23" ht="69.75" hidden="1" customHeight="1">
      <c r="A17" s="327" t="s">
        <v>146</v>
      </c>
      <c r="B17" s="111" t="s">
        <v>519</v>
      </c>
      <c r="C17" s="341" t="s">
        <v>56</v>
      </c>
      <c r="D17" s="64" t="s">
        <v>259</v>
      </c>
      <c r="E17" s="111" t="s">
        <v>260</v>
      </c>
      <c r="F17" s="46" t="s">
        <v>137</v>
      </c>
      <c r="G17" s="344" t="s">
        <v>518</v>
      </c>
      <c r="H17" s="345" t="s">
        <v>505</v>
      </c>
      <c r="I17" s="333" t="s">
        <v>506</v>
      </c>
      <c r="J17" s="129" t="s">
        <v>507</v>
      </c>
      <c r="K17" s="129" t="s">
        <v>507</v>
      </c>
      <c r="L17" s="333" t="s">
        <v>508</v>
      </c>
      <c r="M17" s="333" t="s">
        <v>509</v>
      </c>
      <c r="N17" s="129" t="s">
        <v>510</v>
      </c>
      <c r="O17" s="129" t="s">
        <v>510</v>
      </c>
      <c r="P17" s="129" t="s">
        <v>511</v>
      </c>
      <c r="Q17" s="333" t="s">
        <v>512</v>
      </c>
      <c r="R17" s="343" t="s">
        <v>204</v>
      </c>
      <c r="S17" s="343" t="s">
        <v>204</v>
      </c>
      <c r="T17" s="73" t="s">
        <v>469</v>
      </c>
      <c r="U17" s="136"/>
      <c r="V17" s="73" t="s">
        <v>170</v>
      </c>
      <c r="W17" s="140">
        <v>20250710</v>
      </c>
    </row>
    <row r="18" spans="1:23" ht="69.75" hidden="1" customHeight="1">
      <c r="A18" s="327" t="s">
        <v>146</v>
      </c>
      <c r="B18" s="111" t="s">
        <v>520</v>
      </c>
      <c r="C18" s="341" t="s">
        <v>56</v>
      </c>
      <c r="D18" s="64" t="s">
        <v>521</v>
      </c>
      <c r="E18" s="111" t="s">
        <v>522</v>
      </c>
      <c r="F18" s="46" t="s">
        <v>137</v>
      </c>
      <c r="G18" s="344" t="s">
        <v>518</v>
      </c>
      <c r="H18" s="345" t="s">
        <v>505</v>
      </c>
      <c r="I18" s="333" t="s">
        <v>506</v>
      </c>
      <c r="J18" s="129" t="s">
        <v>507</v>
      </c>
      <c r="K18" s="129" t="s">
        <v>507</v>
      </c>
      <c r="L18" s="333" t="s">
        <v>508</v>
      </c>
      <c r="M18" s="333" t="s">
        <v>509</v>
      </c>
      <c r="N18" s="129" t="s">
        <v>510</v>
      </c>
      <c r="O18" s="129" t="s">
        <v>510</v>
      </c>
      <c r="P18" s="129" t="s">
        <v>511</v>
      </c>
      <c r="Q18" s="333" t="s">
        <v>512</v>
      </c>
      <c r="R18" s="343" t="s">
        <v>204</v>
      </c>
      <c r="S18" s="343" t="s">
        <v>204</v>
      </c>
      <c r="T18" s="73" t="s">
        <v>469</v>
      </c>
      <c r="U18" s="136"/>
      <c r="V18" s="73" t="s">
        <v>170</v>
      </c>
      <c r="W18" s="140">
        <v>20250710</v>
      </c>
    </row>
    <row r="19" spans="1:23" ht="69.75" hidden="1" customHeight="1">
      <c r="A19" s="327" t="s">
        <v>146</v>
      </c>
      <c r="B19" s="111" t="s">
        <v>523</v>
      </c>
      <c r="C19" s="341" t="s">
        <v>56</v>
      </c>
      <c r="D19" s="64" t="s">
        <v>315</v>
      </c>
      <c r="E19" s="111" t="s">
        <v>316</v>
      </c>
      <c r="F19" s="46" t="s">
        <v>137</v>
      </c>
      <c r="G19" s="344" t="s">
        <v>518</v>
      </c>
      <c r="H19" s="345" t="s">
        <v>505</v>
      </c>
      <c r="I19" s="333" t="s">
        <v>506</v>
      </c>
      <c r="J19" s="129" t="s">
        <v>507</v>
      </c>
      <c r="K19" s="129" t="s">
        <v>507</v>
      </c>
      <c r="L19" s="333" t="s">
        <v>508</v>
      </c>
      <c r="M19" s="333" t="s">
        <v>509</v>
      </c>
      <c r="N19" s="129" t="s">
        <v>510</v>
      </c>
      <c r="O19" s="129" t="s">
        <v>510</v>
      </c>
      <c r="P19" s="129" t="s">
        <v>511</v>
      </c>
      <c r="Q19" s="333" t="s">
        <v>512</v>
      </c>
      <c r="R19" s="343" t="s">
        <v>204</v>
      </c>
      <c r="S19" s="343" t="s">
        <v>204</v>
      </c>
      <c r="T19" s="73" t="s">
        <v>469</v>
      </c>
      <c r="U19" s="136"/>
      <c r="V19" s="73" t="s">
        <v>170</v>
      </c>
      <c r="W19" s="140">
        <v>20250710</v>
      </c>
    </row>
    <row r="20" spans="1:23" ht="69.75" hidden="1" customHeight="1">
      <c r="A20" s="327" t="s">
        <v>146</v>
      </c>
      <c r="B20" s="111" t="s">
        <v>524</v>
      </c>
      <c r="C20" s="328" t="s">
        <v>105</v>
      </c>
      <c r="D20" s="64" t="s">
        <v>349</v>
      </c>
      <c r="E20" s="111" t="s">
        <v>350</v>
      </c>
      <c r="F20" s="46" t="s">
        <v>137</v>
      </c>
      <c r="G20" s="347" t="s">
        <v>525</v>
      </c>
      <c r="H20" s="345" t="s">
        <v>505</v>
      </c>
      <c r="I20" s="333" t="s">
        <v>506</v>
      </c>
      <c r="J20" s="129" t="s">
        <v>507</v>
      </c>
      <c r="K20" s="129" t="s">
        <v>507</v>
      </c>
      <c r="L20" s="333" t="s">
        <v>508</v>
      </c>
      <c r="M20" s="333" t="s">
        <v>509</v>
      </c>
      <c r="N20" s="129" t="s">
        <v>510</v>
      </c>
      <c r="O20" s="129" t="s">
        <v>510</v>
      </c>
      <c r="P20" s="129" t="s">
        <v>511</v>
      </c>
      <c r="Q20" s="333" t="s">
        <v>512</v>
      </c>
      <c r="R20" s="343" t="s">
        <v>204</v>
      </c>
      <c r="S20" s="343" t="s">
        <v>204</v>
      </c>
      <c r="T20" s="73" t="s">
        <v>469</v>
      </c>
      <c r="U20" s="136"/>
      <c r="V20" s="73" t="s">
        <v>170</v>
      </c>
      <c r="W20" s="140">
        <v>20250710</v>
      </c>
    </row>
    <row r="21" spans="1:23" ht="69.75" hidden="1" customHeight="1">
      <c r="A21" s="348" t="s">
        <v>526</v>
      </c>
      <c r="B21" s="171" t="s">
        <v>527</v>
      </c>
      <c r="C21" s="349" t="s">
        <v>528</v>
      </c>
      <c r="D21" s="136" t="s">
        <v>529</v>
      </c>
      <c r="E21" s="171" t="s">
        <v>345</v>
      </c>
      <c r="F21" s="73" t="s">
        <v>464</v>
      </c>
      <c r="G21" s="344" t="s">
        <v>518</v>
      </c>
      <c r="H21" s="345" t="s">
        <v>505</v>
      </c>
      <c r="I21" s="333" t="s">
        <v>506</v>
      </c>
      <c r="J21" s="129" t="s">
        <v>507</v>
      </c>
      <c r="K21" s="129" t="s">
        <v>507</v>
      </c>
      <c r="L21" s="333" t="s">
        <v>508</v>
      </c>
      <c r="M21" s="333" t="s">
        <v>509</v>
      </c>
      <c r="N21" s="129" t="s">
        <v>510</v>
      </c>
      <c r="O21" s="129" t="s">
        <v>510</v>
      </c>
      <c r="P21" s="129" t="s">
        <v>511</v>
      </c>
      <c r="Q21" s="333" t="s">
        <v>512</v>
      </c>
      <c r="R21" s="73" t="s">
        <v>530</v>
      </c>
      <c r="S21" s="73" t="s">
        <v>469</v>
      </c>
      <c r="T21" s="73" t="s">
        <v>469</v>
      </c>
      <c r="U21" s="136"/>
      <c r="V21" s="73" t="s">
        <v>531</v>
      </c>
      <c r="W21" s="140">
        <v>20250710</v>
      </c>
    </row>
    <row r="22" spans="1:23" ht="69.75" hidden="1" customHeight="1">
      <c r="A22" s="348" t="s">
        <v>526</v>
      </c>
      <c r="B22" s="171" t="s">
        <v>532</v>
      </c>
      <c r="C22" s="349" t="s">
        <v>533</v>
      </c>
      <c r="D22" s="136"/>
      <c r="E22" s="171" t="s">
        <v>534</v>
      </c>
      <c r="F22" s="73" t="s">
        <v>535</v>
      </c>
      <c r="G22" s="333" t="s">
        <v>536</v>
      </c>
      <c r="H22" s="350" t="s">
        <v>537</v>
      </c>
      <c r="I22" s="350" t="s">
        <v>537</v>
      </c>
      <c r="J22" s="333" t="s">
        <v>538</v>
      </c>
      <c r="K22" s="333" t="s">
        <v>538</v>
      </c>
      <c r="L22" s="129" t="s">
        <v>539</v>
      </c>
      <c r="M22" s="129" t="s">
        <v>539</v>
      </c>
      <c r="N22" s="129" t="s">
        <v>539</v>
      </c>
      <c r="O22" s="129" t="s">
        <v>539</v>
      </c>
      <c r="P22" s="129" t="s">
        <v>539</v>
      </c>
      <c r="Q22" s="129" t="s">
        <v>539</v>
      </c>
      <c r="R22" s="129" t="s">
        <v>539</v>
      </c>
      <c r="S22" s="129" t="s">
        <v>539</v>
      </c>
      <c r="T22" s="129" t="s">
        <v>539</v>
      </c>
      <c r="U22" s="136"/>
      <c r="V22" s="73" t="s">
        <v>531</v>
      </c>
      <c r="W22" s="140">
        <v>20250710</v>
      </c>
    </row>
    <row r="26" spans="1:23">
      <c r="B26" s="351" t="s">
        <v>540</v>
      </c>
    </row>
  </sheetData>
  <conditionalFormatting sqref="H1:T1">
    <cfRule type="expression" dxfId="61" priority="1">
      <formula>H1&lt;&gt;#REF!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E9212-FA08-4E00-B770-422AEFEB9841}">
  <dimension ref="A1:X8"/>
  <sheetViews>
    <sheetView showGridLines="0" workbookViewId="0">
      <selection activeCell="E16" sqref="E16"/>
    </sheetView>
  </sheetViews>
  <sheetFormatPr defaultRowHeight="12"/>
  <cols>
    <col min="1" max="3" width="9" style="197"/>
    <col min="4" max="4" width="0" style="197" hidden="1" customWidth="1"/>
    <col min="5" max="5" width="54.875" style="197" customWidth="1"/>
    <col min="6" max="7" width="9" style="197"/>
    <col min="8" max="8" width="58.875" style="197" customWidth="1"/>
    <col min="9" max="23" width="9" style="197"/>
    <col min="24" max="24" width="12" style="197" bestFit="1" customWidth="1"/>
    <col min="25" max="16384" width="9" style="197"/>
  </cols>
  <sheetData>
    <row r="1" spans="1:24" ht="141">
      <c r="A1" s="318" t="s">
        <v>442</v>
      </c>
      <c r="B1" s="318" t="s">
        <v>1</v>
      </c>
      <c r="C1" s="318" t="s">
        <v>443</v>
      </c>
      <c r="D1" s="318" t="s">
        <v>444</v>
      </c>
      <c r="E1" s="318" t="s">
        <v>541</v>
      </c>
      <c r="F1" s="318" t="s">
        <v>446</v>
      </c>
      <c r="G1" s="318" t="s">
        <v>542</v>
      </c>
      <c r="H1" s="318" t="s">
        <v>11</v>
      </c>
      <c r="I1" s="319" t="s">
        <v>543</v>
      </c>
      <c r="J1" s="319" t="s">
        <v>544</v>
      </c>
      <c r="K1" s="319" t="s">
        <v>545</v>
      </c>
      <c r="L1" s="319" t="s">
        <v>546</v>
      </c>
      <c r="M1" s="319" t="s">
        <v>547</v>
      </c>
      <c r="N1" s="319" t="s">
        <v>548</v>
      </c>
      <c r="O1" s="319" t="s">
        <v>549</v>
      </c>
      <c r="P1" s="319" t="s">
        <v>550</v>
      </c>
      <c r="Q1" s="319" t="s">
        <v>551</v>
      </c>
      <c r="R1" s="319" t="s">
        <v>552</v>
      </c>
      <c r="S1" s="319" t="s">
        <v>28</v>
      </c>
      <c r="T1" s="319" t="s">
        <v>553</v>
      </c>
      <c r="U1" s="319" t="s">
        <v>554</v>
      </c>
      <c r="V1" s="318" t="s">
        <v>460</v>
      </c>
      <c r="W1" s="318" t="s">
        <v>461</v>
      </c>
      <c r="X1" s="318" t="s">
        <v>462</v>
      </c>
    </row>
    <row r="2" spans="1:24" ht="79.5" hidden="1" customHeight="1">
      <c r="A2" s="187" t="s">
        <v>146</v>
      </c>
      <c r="B2" s="200" t="s">
        <v>555</v>
      </c>
      <c r="C2" s="189" t="s">
        <v>68</v>
      </c>
      <c r="D2" s="201" t="s">
        <v>278</v>
      </c>
      <c r="E2" s="200" t="s">
        <v>279</v>
      </c>
      <c r="F2" s="190" t="s">
        <v>556</v>
      </c>
      <c r="G2" s="207" t="s">
        <v>557</v>
      </c>
      <c r="H2" s="320" t="s">
        <v>558</v>
      </c>
      <c r="I2" s="321" t="s">
        <v>282</v>
      </c>
      <c r="J2" s="321" t="s">
        <v>282</v>
      </c>
      <c r="K2" s="207" t="s">
        <v>559</v>
      </c>
      <c r="L2" s="207" t="s">
        <v>560</v>
      </c>
      <c r="M2" s="321" t="s">
        <v>561</v>
      </c>
      <c r="N2" s="321" t="s">
        <v>285</v>
      </c>
      <c r="O2" s="321" t="s">
        <v>356</v>
      </c>
      <c r="P2" s="322" t="s">
        <v>562</v>
      </c>
      <c r="Q2" s="322" t="s">
        <v>563</v>
      </c>
      <c r="R2" s="321" t="s">
        <v>313</v>
      </c>
      <c r="S2" s="323" t="s">
        <v>204</v>
      </c>
      <c r="T2" s="324" t="s">
        <v>204</v>
      </c>
      <c r="U2" s="190" t="s">
        <v>204</v>
      </c>
      <c r="V2" s="199"/>
      <c r="W2" s="190" t="s">
        <v>170</v>
      </c>
      <c r="X2" s="187">
        <v>20250703</v>
      </c>
    </row>
    <row r="3" spans="1:24" ht="79.5" hidden="1" customHeight="1">
      <c r="A3" s="187" t="s">
        <v>146</v>
      </c>
      <c r="B3" s="200" t="s">
        <v>564</v>
      </c>
      <c r="C3" s="189" t="s">
        <v>105</v>
      </c>
      <c r="D3" s="199" t="s">
        <v>308</v>
      </c>
      <c r="E3" s="200" t="s">
        <v>309</v>
      </c>
      <c r="F3" s="190" t="s">
        <v>310</v>
      </c>
      <c r="G3" s="207" t="s">
        <v>557</v>
      </c>
      <c r="H3" s="320" t="s">
        <v>565</v>
      </c>
      <c r="I3" s="321" t="s">
        <v>282</v>
      </c>
      <c r="J3" s="321" t="s">
        <v>282</v>
      </c>
      <c r="K3" s="207" t="s">
        <v>559</v>
      </c>
      <c r="L3" s="207" t="s">
        <v>560</v>
      </c>
      <c r="M3" s="321" t="s">
        <v>561</v>
      </c>
      <c r="N3" s="321" t="s">
        <v>285</v>
      </c>
      <c r="O3" s="321" t="s">
        <v>356</v>
      </c>
      <c r="P3" s="322" t="s">
        <v>562</v>
      </c>
      <c r="Q3" s="322" t="s">
        <v>563</v>
      </c>
      <c r="R3" s="321" t="s">
        <v>313</v>
      </c>
      <c r="S3" s="323" t="s">
        <v>204</v>
      </c>
      <c r="T3" s="324" t="s">
        <v>204</v>
      </c>
      <c r="U3" s="190" t="s">
        <v>204</v>
      </c>
      <c r="V3" s="199"/>
      <c r="W3" s="190" t="s">
        <v>170</v>
      </c>
      <c r="X3" s="187">
        <v>20250703</v>
      </c>
    </row>
    <row r="4" spans="1:24" ht="79.5" hidden="1" customHeight="1">
      <c r="A4" s="187" t="s">
        <v>566</v>
      </c>
      <c r="B4" s="206" t="s">
        <v>567</v>
      </c>
      <c r="C4" s="198" t="s">
        <v>568</v>
      </c>
      <c r="D4" s="199"/>
      <c r="E4" s="206" t="s">
        <v>569</v>
      </c>
      <c r="F4" s="190" t="s">
        <v>556</v>
      </c>
      <c r="G4" s="207" t="s">
        <v>557</v>
      </c>
      <c r="H4" s="320" t="s">
        <v>570</v>
      </c>
      <c r="I4" s="321" t="s">
        <v>282</v>
      </c>
      <c r="J4" s="321" t="s">
        <v>282</v>
      </c>
      <c r="K4" s="207" t="s">
        <v>559</v>
      </c>
      <c r="L4" s="207" t="s">
        <v>560</v>
      </c>
      <c r="M4" s="321" t="s">
        <v>561</v>
      </c>
      <c r="N4" s="321" t="s">
        <v>285</v>
      </c>
      <c r="O4" s="321" t="s">
        <v>356</v>
      </c>
      <c r="P4" s="322" t="s">
        <v>562</v>
      </c>
      <c r="Q4" s="322" t="s">
        <v>563</v>
      </c>
      <c r="R4" s="321" t="s">
        <v>313</v>
      </c>
      <c r="S4" s="190" t="s">
        <v>204</v>
      </c>
      <c r="T4" s="190" t="s">
        <v>204</v>
      </c>
      <c r="U4" s="190" t="s">
        <v>204</v>
      </c>
      <c r="V4" s="199"/>
      <c r="W4" s="190" t="s">
        <v>571</v>
      </c>
      <c r="X4" s="187">
        <v>20250703</v>
      </c>
    </row>
    <row r="8" spans="1:24">
      <c r="A8" s="283" t="s">
        <v>572</v>
      </c>
    </row>
  </sheetData>
  <conditionalFormatting sqref="I1:U1">
    <cfRule type="expression" dxfId="60" priority="1">
      <formula>I1&lt;&gt;#REF!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E6ED-ED8C-4248-BE5C-61BCD915AAC6}">
  <dimension ref="A1:X29"/>
  <sheetViews>
    <sheetView showGridLines="0" workbookViewId="0">
      <selection activeCell="A29" sqref="A29"/>
    </sheetView>
  </sheetViews>
  <sheetFormatPr defaultRowHeight="12"/>
  <cols>
    <col min="1" max="1" width="9" style="283"/>
    <col min="2" max="2" width="15.625" style="283" customWidth="1"/>
    <col min="3" max="3" width="9" style="283"/>
    <col min="4" max="4" width="13.125" style="283" customWidth="1"/>
    <col min="5" max="5" width="50.375" style="283" customWidth="1"/>
    <col min="6" max="7" width="9" style="283"/>
    <col min="8" max="8" width="40.25" style="301" customWidth="1"/>
    <col min="9" max="20" width="9" style="283"/>
    <col min="21" max="21" width="12" style="283" bestFit="1" customWidth="1"/>
    <col min="22" max="23" width="9" style="283"/>
    <col min="24" max="24" width="13" style="283" bestFit="1" customWidth="1"/>
    <col min="25" max="16384" width="9" style="283"/>
  </cols>
  <sheetData>
    <row r="1" spans="1:24" ht="70.5" customHeight="1">
      <c r="A1" s="281" t="s">
        <v>442</v>
      </c>
      <c r="B1" s="281" t="s">
        <v>1</v>
      </c>
      <c r="C1" s="281" t="s">
        <v>443</v>
      </c>
      <c r="D1" s="281" t="s">
        <v>444</v>
      </c>
      <c r="E1" s="281" t="s">
        <v>573</v>
      </c>
      <c r="F1" s="281" t="s">
        <v>446</v>
      </c>
      <c r="G1" s="281" t="s">
        <v>542</v>
      </c>
      <c r="H1" s="281" t="s">
        <v>11</v>
      </c>
      <c r="I1" s="282" t="s">
        <v>574</v>
      </c>
      <c r="J1" s="282" t="s">
        <v>575</v>
      </c>
      <c r="K1" s="282" t="s">
        <v>576</v>
      </c>
      <c r="L1" s="282" t="s">
        <v>577</v>
      </c>
      <c r="M1" s="282" t="s">
        <v>578</v>
      </c>
      <c r="N1" s="282" t="s">
        <v>579</v>
      </c>
      <c r="O1" s="282" t="s">
        <v>580</v>
      </c>
      <c r="P1" s="282" t="s">
        <v>581</v>
      </c>
      <c r="Q1" s="282" t="s">
        <v>582</v>
      </c>
      <c r="R1" s="282" t="s">
        <v>583</v>
      </c>
      <c r="S1" s="282" t="s">
        <v>28</v>
      </c>
      <c r="T1" s="282" t="s">
        <v>584</v>
      </c>
      <c r="U1" s="282" t="s">
        <v>585</v>
      </c>
      <c r="V1" s="281" t="s">
        <v>460</v>
      </c>
      <c r="W1" s="281" t="s">
        <v>461</v>
      </c>
      <c r="X1" s="281" t="s">
        <v>462</v>
      </c>
    </row>
    <row r="2" spans="1:24" ht="62.25" hidden="1" customHeight="1">
      <c r="A2" s="284" t="s">
        <v>75</v>
      </c>
      <c r="B2" s="285" t="s">
        <v>586</v>
      </c>
      <c r="C2" s="211" t="s">
        <v>68</v>
      </c>
      <c r="D2" s="286" t="s">
        <v>587</v>
      </c>
      <c r="E2" s="285" t="s">
        <v>588</v>
      </c>
      <c r="F2" s="286" t="s">
        <v>589</v>
      </c>
      <c r="G2" s="287" t="s">
        <v>590</v>
      </c>
      <c r="H2" s="288" t="s">
        <v>591</v>
      </c>
      <c r="I2" s="289" t="s">
        <v>204</v>
      </c>
      <c r="J2" s="289" t="s">
        <v>204</v>
      </c>
      <c r="K2" s="289" t="s">
        <v>204</v>
      </c>
      <c r="L2" s="286" t="s">
        <v>592</v>
      </c>
      <c r="M2" s="289" t="s">
        <v>204</v>
      </c>
      <c r="N2" s="289" t="s">
        <v>204</v>
      </c>
      <c r="O2" s="289" t="s">
        <v>204</v>
      </c>
      <c r="P2" s="286" t="s">
        <v>592</v>
      </c>
      <c r="Q2" s="286" t="s">
        <v>592</v>
      </c>
      <c r="R2" s="289" t="s">
        <v>204</v>
      </c>
      <c r="S2" s="289" t="s">
        <v>204</v>
      </c>
      <c r="T2" s="289" t="s">
        <v>204</v>
      </c>
      <c r="U2" s="286" t="s">
        <v>592</v>
      </c>
      <c r="V2" s="286"/>
      <c r="W2" s="286" t="s">
        <v>593</v>
      </c>
      <c r="X2" s="284">
        <v>20250625</v>
      </c>
    </row>
    <row r="3" spans="1:24" ht="62.25" hidden="1" customHeight="1">
      <c r="A3" s="284" t="s">
        <v>146</v>
      </c>
      <c r="B3" s="285" t="s">
        <v>594</v>
      </c>
      <c r="C3" s="211" t="s">
        <v>68</v>
      </c>
      <c r="D3" s="286" t="s">
        <v>148</v>
      </c>
      <c r="E3" s="285" t="s">
        <v>149</v>
      </c>
      <c r="F3" s="286" t="s">
        <v>87</v>
      </c>
      <c r="G3" s="287" t="s">
        <v>595</v>
      </c>
      <c r="H3" s="290" t="s">
        <v>596</v>
      </c>
      <c r="I3" s="203" t="s">
        <v>597</v>
      </c>
      <c r="J3" s="203" t="s">
        <v>151</v>
      </c>
      <c r="K3" s="204" t="s">
        <v>204</v>
      </c>
      <c r="L3" s="195" t="s">
        <v>204</v>
      </c>
      <c r="M3" s="203" t="s">
        <v>273</v>
      </c>
      <c r="N3" s="203" t="s">
        <v>598</v>
      </c>
      <c r="O3" s="203" t="s">
        <v>598</v>
      </c>
      <c r="P3" s="291" t="s">
        <v>599</v>
      </c>
      <c r="Q3" s="291" t="s">
        <v>600</v>
      </c>
      <c r="R3" s="203" t="s">
        <v>156</v>
      </c>
      <c r="S3" s="205" t="s">
        <v>204</v>
      </c>
      <c r="T3" s="204" t="s">
        <v>204</v>
      </c>
      <c r="U3" s="195" t="s">
        <v>592</v>
      </c>
      <c r="V3" s="195"/>
      <c r="W3" s="286" t="s">
        <v>170</v>
      </c>
      <c r="X3" s="284">
        <v>20250625</v>
      </c>
    </row>
    <row r="4" spans="1:24" ht="62.25" hidden="1" customHeight="1">
      <c r="A4" s="284" t="s">
        <v>146</v>
      </c>
      <c r="B4" s="285" t="s">
        <v>601</v>
      </c>
      <c r="C4" s="292" t="s">
        <v>68</v>
      </c>
      <c r="D4" s="293">
        <v>983100</v>
      </c>
      <c r="E4" s="285" t="s">
        <v>602</v>
      </c>
      <c r="F4" s="286" t="s">
        <v>87</v>
      </c>
      <c r="G4" s="287" t="s">
        <v>603</v>
      </c>
      <c r="H4" s="290" t="s">
        <v>604</v>
      </c>
      <c r="I4" s="203" t="s">
        <v>231</v>
      </c>
      <c r="J4" s="203" t="s">
        <v>605</v>
      </c>
      <c r="K4" s="204" t="s">
        <v>204</v>
      </c>
      <c r="L4" s="195" t="s">
        <v>204</v>
      </c>
      <c r="M4" s="203" t="s">
        <v>323</v>
      </c>
      <c r="N4" s="203" t="s">
        <v>606</v>
      </c>
      <c r="O4" s="203" t="s">
        <v>606</v>
      </c>
      <c r="P4" s="291" t="s">
        <v>607</v>
      </c>
      <c r="Q4" s="291" t="s">
        <v>608</v>
      </c>
      <c r="R4" s="203" t="s">
        <v>235</v>
      </c>
      <c r="S4" s="205" t="s">
        <v>204</v>
      </c>
      <c r="T4" s="204" t="s">
        <v>204</v>
      </c>
      <c r="U4" s="195" t="s">
        <v>204</v>
      </c>
      <c r="V4" s="195"/>
      <c r="W4" s="286" t="s">
        <v>170</v>
      </c>
      <c r="X4" s="284">
        <v>20250625</v>
      </c>
    </row>
    <row r="5" spans="1:24" ht="62.25" hidden="1" customHeight="1">
      <c r="A5" s="284" t="s">
        <v>146</v>
      </c>
      <c r="B5" s="285" t="s">
        <v>609</v>
      </c>
      <c r="C5" s="292" t="s">
        <v>68</v>
      </c>
      <c r="D5" s="293">
        <v>944040</v>
      </c>
      <c r="E5" s="285" t="s">
        <v>253</v>
      </c>
      <c r="F5" s="286" t="s">
        <v>87</v>
      </c>
      <c r="G5" s="287" t="s">
        <v>610</v>
      </c>
      <c r="H5" s="290" t="s">
        <v>611</v>
      </c>
      <c r="I5" s="203" t="s">
        <v>293</v>
      </c>
      <c r="J5" s="203" t="s">
        <v>293</v>
      </c>
      <c r="K5" s="204" t="s">
        <v>204</v>
      </c>
      <c r="L5" s="195" t="s">
        <v>204</v>
      </c>
      <c r="M5" s="194" t="s">
        <v>241</v>
      </c>
      <c r="N5" s="194" t="s">
        <v>612</v>
      </c>
      <c r="O5" s="194" t="s">
        <v>612</v>
      </c>
      <c r="P5" s="291" t="s">
        <v>613</v>
      </c>
      <c r="Q5" s="291" t="s">
        <v>614</v>
      </c>
      <c r="R5" s="194" t="s">
        <v>243</v>
      </c>
      <c r="S5" s="205" t="s">
        <v>204</v>
      </c>
      <c r="T5" s="204" t="s">
        <v>204</v>
      </c>
      <c r="U5" s="195" t="s">
        <v>204</v>
      </c>
      <c r="V5" s="195"/>
      <c r="W5" s="286" t="s">
        <v>170</v>
      </c>
      <c r="X5" s="284">
        <v>20250625</v>
      </c>
    </row>
    <row r="6" spans="1:24" ht="62.25" hidden="1" customHeight="1">
      <c r="A6" s="284" t="s">
        <v>146</v>
      </c>
      <c r="B6" s="285" t="s">
        <v>227</v>
      </c>
      <c r="C6" s="292" t="s">
        <v>68</v>
      </c>
      <c r="D6" s="294" t="s">
        <v>228</v>
      </c>
      <c r="E6" s="285" t="s">
        <v>229</v>
      </c>
      <c r="F6" s="286" t="s">
        <v>87</v>
      </c>
      <c r="G6" s="287" t="s">
        <v>595</v>
      </c>
      <c r="H6" s="295" t="s">
        <v>230</v>
      </c>
      <c r="I6" s="203" t="s">
        <v>231</v>
      </c>
      <c r="J6" s="203" t="s">
        <v>605</v>
      </c>
      <c r="K6" s="204" t="s">
        <v>204</v>
      </c>
      <c r="L6" s="195" t="s">
        <v>204</v>
      </c>
      <c r="M6" s="203" t="s">
        <v>323</v>
      </c>
      <c r="N6" s="296" t="s">
        <v>234</v>
      </c>
      <c r="O6" s="296" t="s">
        <v>234</v>
      </c>
      <c r="P6" s="291" t="s">
        <v>615</v>
      </c>
      <c r="Q6" s="291" t="s">
        <v>608</v>
      </c>
      <c r="R6" s="203" t="s">
        <v>235</v>
      </c>
      <c r="S6" s="205" t="s">
        <v>204</v>
      </c>
      <c r="T6" s="204" t="s">
        <v>204</v>
      </c>
      <c r="U6" s="195" t="s">
        <v>204</v>
      </c>
      <c r="V6" s="195"/>
      <c r="W6" s="286" t="s">
        <v>170</v>
      </c>
      <c r="X6" s="284">
        <v>20250625</v>
      </c>
    </row>
    <row r="7" spans="1:24" ht="62.25" hidden="1" customHeight="1">
      <c r="A7" s="284" t="s">
        <v>146</v>
      </c>
      <c r="B7" s="285" t="s">
        <v>616</v>
      </c>
      <c r="C7" s="292" t="s">
        <v>68</v>
      </c>
      <c r="D7" s="293" t="s">
        <v>237</v>
      </c>
      <c r="E7" s="285" t="s">
        <v>238</v>
      </c>
      <c r="F7" s="286" t="s">
        <v>87</v>
      </c>
      <c r="G7" s="287" t="s">
        <v>610</v>
      </c>
      <c r="H7" s="290" t="s">
        <v>617</v>
      </c>
      <c r="I7" s="203" t="s">
        <v>293</v>
      </c>
      <c r="J7" s="203" t="s">
        <v>293</v>
      </c>
      <c r="K7" s="204" t="s">
        <v>204</v>
      </c>
      <c r="L7" s="195" t="s">
        <v>204</v>
      </c>
      <c r="M7" s="194" t="s">
        <v>241</v>
      </c>
      <c r="N7" s="297" t="s">
        <v>242</v>
      </c>
      <c r="O7" s="297" t="s">
        <v>242</v>
      </c>
      <c r="P7" s="291" t="s">
        <v>613</v>
      </c>
      <c r="Q7" s="291" t="s">
        <v>614</v>
      </c>
      <c r="R7" s="194" t="s">
        <v>243</v>
      </c>
      <c r="S7" s="205" t="s">
        <v>204</v>
      </c>
      <c r="T7" s="204" t="s">
        <v>204</v>
      </c>
      <c r="U7" s="195" t="s">
        <v>204</v>
      </c>
      <c r="V7" s="195"/>
      <c r="W7" s="286" t="s">
        <v>170</v>
      </c>
      <c r="X7" s="284">
        <v>20250625</v>
      </c>
    </row>
    <row r="8" spans="1:24" ht="62.25" hidden="1" customHeight="1">
      <c r="A8" s="284" t="s">
        <v>146</v>
      </c>
      <c r="B8" s="285" t="s">
        <v>618</v>
      </c>
      <c r="C8" s="292" t="s">
        <v>68</v>
      </c>
      <c r="D8" s="294" t="s">
        <v>270</v>
      </c>
      <c r="E8" s="285" t="s">
        <v>271</v>
      </c>
      <c r="F8" s="286" t="s">
        <v>87</v>
      </c>
      <c r="G8" s="287" t="s">
        <v>595</v>
      </c>
      <c r="H8" s="290" t="s">
        <v>619</v>
      </c>
      <c r="I8" s="203" t="s">
        <v>597</v>
      </c>
      <c r="J8" s="203" t="s">
        <v>151</v>
      </c>
      <c r="K8" s="204" t="s">
        <v>204</v>
      </c>
      <c r="L8" s="195" t="s">
        <v>204</v>
      </c>
      <c r="M8" s="203" t="s">
        <v>273</v>
      </c>
      <c r="N8" s="203" t="s">
        <v>598</v>
      </c>
      <c r="O8" s="203" t="s">
        <v>598</v>
      </c>
      <c r="P8" s="291" t="s">
        <v>620</v>
      </c>
      <c r="Q8" s="291" t="s">
        <v>600</v>
      </c>
      <c r="R8" s="203" t="s">
        <v>156</v>
      </c>
      <c r="S8" s="205" t="s">
        <v>204</v>
      </c>
      <c r="T8" s="204" t="s">
        <v>204</v>
      </c>
      <c r="U8" s="195" t="s">
        <v>592</v>
      </c>
      <c r="V8" s="195"/>
      <c r="W8" s="286" t="s">
        <v>170</v>
      </c>
      <c r="X8" s="284">
        <v>20250625</v>
      </c>
    </row>
    <row r="9" spans="1:24" ht="62.25" hidden="1" customHeight="1">
      <c r="A9" s="284" t="s">
        <v>146</v>
      </c>
      <c r="B9" s="285" t="s">
        <v>277</v>
      </c>
      <c r="C9" s="292" t="s">
        <v>68</v>
      </c>
      <c r="D9" s="294" t="s">
        <v>278</v>
      </c>
      <c r="E9" s="285" t="s">
        <v>279</v>
      </c>
      <c r="F9" s="286" t="s">
        <v>621</v>
      </c>
      <c r="G9" s="287" t="s">
        <v>595</v>
      </c>
      <c r="H9" s="291" t="s">
        <v>622</v>
      </c>
      <c r="I9" s="192" t="s">
        <v>623</v>
      </c>
      <c r="J9" s="192" t="s">
        <v>623</v>
      </c>
      <c r="K9" s="208" t="s">
        <v>624</v>
      </c>
      <c r="L9" s="208" t="s">
        <v>625</v>
      </c>
      <c r="M9" s="192" t="s">
        <v>626</v>
      </c>
      <c r="N9" s="192" t="s">
        <v>285</v>
      </c>
      <c r="O9" s="192" t="s">
        <v>356</v>
      </c>
      <c r="P9" s="298" t="s">
        <v>627</v>
      </c>
      <c r="Q9" s="298" t="s">
        <v>628</v>
      </c>
      <c r="R9" s="192" t="s">
        <v>313</v>
      </c>
      <c r="S9" s="205" t="s">
        <v>204</v>
      </c>
      <c r="T9" s="204" t="s">
        <v>204</v>
      </c>
      <c r="U9" s="195" t="s">
        <v>204</v>
      </c>
      <c r="V9" s="195"/>
      <c r="W9" s="286" t="s">
        <v>170</v>
      </c>
      <c r="X9" s="284">
        <v>20250625</v>
      </c>
    </row>
    <row r="10" spans="1:24" ht="62.25" hidden="1" customHeight="1">
      <c r="A10" s="284" t="s">
        <v>146</v>
      </c>
      <c r="B10" s="285" t="s">
        <v>629</v>
      </c>
      <c r="C10" s="292" t="s">
        <v>68</v>
      </c>
      <c r="D10" s="294" t="s">
        <v>290</v>
      </c>
      <c r="E10" s="285" t="s">
        <v>291</v>
      </c>
      <c r="F10" s="286" t="s">
        <v>87</v>
      </c>
      <c r="G10" s="287" t="s">
        <v>610</v>
      </c>
      <c r="H10" s="290" t="s">
        <v>630</v>
      </c>
      <c r="I10" s="203" t="s">
        <v>293</v>
      </c>
      <c r="J10" s="203" t="s">
        <v>293</v>
      </c>
      <c r="K10" s="204" t="s">
        <v>204</v>
      </c>
      <c r="L10" s="195" t="s">
        <v>204</v>
      </c>
      <c r="M10" s="194" t="s">
        <v>241</v>
      </c>
      <c r="N10" s="297" t="s">
        <v>242</v>
      </c>
      <c r="O10" s="297" t="s">
        <v>242</v>
      </c>
      <c r="P10" s="291" t="s">
        <v>613</v>
      </c>
      <c r="Q10" s="291" t="s">
        <v>614</v>
      </c>
      <c r="R10" s="194" t="s">
        <v>243</v>
      </c>
      <c r="S10" s="205" t="s">
        <v>204</v>
      </c>
      <c r="T10" s="204" t="s">
        <v>204</v>
      </c>
      <c r="U10" s="195" t="s">
        <v>204</v>
      </c>
      <c r="V10" s="195"/>
      <c r="W10" s="286" t="s">
        <v>170</v>
      </c>
      <c r="X10" s="284">
        <v>20250625</v>
      </c>
    </row>
    <row r="11" spans="1:24" ht="62.25" hidden="1" customHeight="1">
      <c r="A11" s="284" t="s">
        <v>146</v>
      </c>
      <c r="B11" s="285" t="s">
        <v>631</v>
      </c>
      <c r="C11" s="292" t="s">
        <v>68</v>
      </c>
      <c r="D11" s="294" t="s">
        <v>297</v>
      </c>
      <c r="E11" s="285" t="s">
        <v>298</v>
      </c>
      <c r="F11" s="286" t="s">
        <v>87</v>
      </c>
      <c r="G11" s="287" t="s">
        <v>595</v>
      </c>
      <c r="H11" s="192" t="s">
        <v>632</v>
      </c>
      <c r="I11" s="203" t="s">
        <v>633</v>
      </c>
      <c r="J11" s="203" t="s">
        <v>634</v>
      </c>
      <c r="K11" s="204" t="s">
        <v>204</v>
      </c>
      <c r="L11" s="195" t="s">
        <v>204</v>
      </c>
      <c r="M11" s="203" t="s">
        <v>635</v>
      </c>
      <c r="N11" s="203" t="s">
        <v>636</v>
      </c>
      <c r="O11" s="203" t="s">
        <v>636</v>
      </c>
      <c r="P11" s="291" t="s">
        <v>637</v>
      </c>
      <c r="Q11" s="291" t="s">
        <v>638</v>
      </c>
      <c r="R11" s="203" t="s">
        <v>639</v>
      </c>
      <c r="S11" s="205" t="s">
        <v>204</v>
      </c>
      <c r="T11" s="204" t="s">
        <v>204</v>
      </c>
      <c r="U11" s="195" t="s">
        <v>204</v>
      </c>
      <c r="V11" s="195"/>
      <c r="W11" s="286" t="s">
        <v>170</v>
      </c>
      <c r="X11" s="284">
        <v>20250625</v>
      </c>
    </row>
    <row r="12" spans="1:24" ht="62.25" hidden="1" customHeight="1">
      <c r="A12" s="284" t="s">
        <v>146</v>
      </c>
      <c r="B12" s="285" t="s">
        <v>640</v>
      </c>
      <c r="C12" s="292" t="s">
        <v>68</v>
      </c>
      <c r="D12" s="294" t="s">
        <v>641</v>
      </c>
      <c r="E12" s="285" t="s">
        <v>642</v>
      </c>
      <c r="F12" s="286" t="s">
        <v>87</v>
      </c>
      <c r="G12" s="287" t="s">
        <v>603</v>
      </c>
      <c r="H12" s="290" t="s">
        <v>643</v>
      </c>
      <c r="I12" s="203" t="s">
        <v>231</v>
      </c>
      <c r="J12" s="203" t="s">
        <v>605</v>
      </c>
      <c r="K12" s="204" t="s">
        <v>204</v>
      </c>
      <c r="L12" s="195" t="s">
        <v>204</v>
      </c>
      <c r="M12" s="203" t="s">
        <v>323</v>
      </c>
      <c r="N12" s="296" t="s">
        <v>234</v>
      </c>
      <c r="O12" s="296" t="s">
        <v>234</v>
      </c>
      <c r="P12" s="291" t="s">
        <v>607</v>
      </c>
      <c r="Q12" s="291" t="s">
        <v>608</v>
      </c>
      <c r="R12" s="203" t="s">
        <v>235</v>
      </c>
      <c r="S12" s="205" t="s">
        <v>204</v>
      </c>
      <c r="T12" s="204" t="s">
        <v>204</v>
      </c>
      <c r="U12" s="195" t="s">
        <v>204</v>
      </c>
      <c r="V12" s="195"/>
      <c r="W12" s="286" t="s">
        <v>170</v>
      </c>
      <c r="X12" s="284">
        <v>20250625</v>
      </c>
    </row>
    <row r="13" spans="1:24" ht="62.25" hidden="1" customHeight="1">
      <c r="A13" s="284" t="s">
        <v>146</v>
      </c>
      <c r="B13" s="285" t="s">
        <v>644</v>
      </c>
      <c r="C13" s="292" t="s">
        <v>105</v>
      </c>
      <c r="D13" s="286" t="s">
        <v>308</v>
      </c>
      <c r="E13" s="285" t="s">
        <v>309</v>
      </c>
      <c r="F13" s="286" t="s">
        <v>310</v>
      </c>
      <c r="G13" s="287" t="s">
        <v>595</v>
      </c>
      <c r="H13" s="298" t="s">
        <v>645</v>
      </c>
      <c r="I13" s="192" t="s">
        <v>623</v>
      </c>
      <c r="J13" s="192" t="s">
        <v>623</v>
      </c>
      <c r="K13" s="208" t="s">
        <v>624</v>
      </c>
      <c r="L13" s="208" t="s">
        <v>625</v>
      </c>
      <c r="M13" s="192" t="s">
        <v>626</v>
      </c>
      <c r="N13" s="192" t="s">
        <v>285</v>
      </c>
      <c r="O13" s="192" t="s">
        <v>356</v>
      </c>
      <c r="P13" s="298" t="s">
        <v>627</v>
      </c>
      <c r="Q13" s="298" t="s">
        <v>628</v>
      </c>
      <c r="R13" s="192" t="s">
        <v>313</v>
      </c>
      <c r="S13" s="205" t="s">
        <v>204</v>
      </c>
      <c r="T13" s="204" t="s">
        <v>204</v>
      </c>
      <c r="U13" s="195" t="s">
        <v>204</v>
      </c>
      <c r="V13" s="195"/>
      <c r="W13" s="286" t="s">
        <v>170</v>
      </c>
      <c r="X13" s="284">
        <v>20250625</v>
      </c>
    </row>
    <row r="14" spans="1:24" ht="62.25" hidden="1" customHeight="1">
      <c r="A14" s="284" t="s">
        <v>146</v>
      </c>
      <c r="B14" s="285" t="s">
        <v>646</v>
      </c>
      <c r="C14" s="292" t="s">
        <v>68</v>
      </c>
      <c r="D14" s="293">
        <v>984723</v>
      </c>
      <c r="E14" s="285" t="s">
        <v>647</v>
      </c>
      <c r="F14" s="286" t="s">
        <v>87</v>
      </c>
      <c r="G14" s="287" t="s">
        <v>595</v>
      </c>
      <c r="H14" s="295" t="s">
        <v>648</v>
      </c>
      <c r="I14" s="203" t="s">
        <v>293</v>
      </c>
      <c r="J14" s="203" t="s">
        <v>293</v>
      </c>
      <c r="K14" s="204" t="s">
        <v>204</v>
      </c>
      <c r="L14" s="195" t="s">
        <v>204</v>
      </c>
      <c r="M14" s="194" t="s">
        <v>241</v>
      </c>
      <c r="N14" s="297" t="s">
        <v>242</v>
      </c>
      <c r="O14" s="297" t="s">
        <v>242</v>
      </c>
      <c r="P14" s="291" t="s">
        <v>649</v>
      </c>
      <c r="Q14" s="291" t="s">
        <v>650</v>
      </c>
      <c r="R14" s="194" t="s">
        <v>243</v>
      </c>
      <c r="S14" s="205" t="s">
        <v>204</v>
      </c>
      <c r="T14" s="204" t="s">
        <v>204</v>
      </c>
      <c r="U14" s="195" t="s">
        <v>204</v>
      </c>
      <c r="V14" s="195"/>
      <c r="W14" s="286" t="s">
        <v>170</v>
      </c>
      <c r="X14" s="284">
        <v>20250625</v>
      </c>
    </row>
    <row r="15" spans="1:24" ht="62.25" hidden="1" customHeight="1">
      <c r="A15" s="284" t="s">
        <v>146</v>
      </c>
      <c r="B15" s="285" t="s">
        <v>651</v>
      </c>
      <c r="C15" s="292" t="s">
        <v>68</v>
      </c>
      <c r="D15" s="294" t="s">
        <v>652</v>
      </c>
      <c r="E15" s="285" t="s">
        <v>653</v>
      </c>
      <c r="F15" s="286" t="s">
        <v>654</v>
      </c>
      <c r="G15" s="287" t="s">
        <v>595</v>
      </c>
      <c r="H15" s="205" t="s">
        <v>655</v>
      </c>
      <c r="I15" s="205" t="s">
        <v>656</v>
      </c>
      <c r="J15" s="205" t="s">
        <v>204</v>
      </c>
      <c r="K15" s="204" t="s">
        <v>204</v>
      </c>
      <c r="L15" s="195" t="s">
        <v>592</v>
      </c>
      <c r="M15" s="193" t="s">
        <v>657</v>
      </c>
      <c r="N15" s="193" t="s">
        <v>657</v>
      </c>
      <c r="O15" s="205" t="s">
        <v>204</v>
      </c>
      <c r="P15" s="291" t="s">
        <v>613</v>
      </c>
      <c r="Q15" s="291" t="s">
        <v>614</v>
      </c>
      <c r="R15" s="204" t="s">
        <v>204</v>
      </c>
      <c r="S15" s="205" t="s">
        <v>204</v>
      </c>
      <c r="T15" s="204" t="s">
        <v>204</v>
      </c>
      <c r="U15" s="195" t="s">
        <v>592</v>
      </c>
      <c r="V15" s="195"/>
      <c r="W15" s="286" t="s">
        <v>170</v>
      </c>
      <c r="X15" s="284">
        <v>20250625</v>
      </c>
    </row>
    <row r="16" spans="1:24" ht="62.25" hidden="1" customHeight="1">
      <c r="A16" s="284" t="s">
        <v>146</v>
      </c>
      <c r="B16" s="285" t="s">
        <v>319</v>
      </c>
      <c r="C16" s="292" t="s">
        <v>68</v>
      </c>
      <c r="D16" s="294" t="s">
        <v>320</v>
      </c>
      <c r="E16" s="285" t="s">
        <v>321</v>
      </c>
      <c r="F16" s="286" t="s">
        <v>87</v>
      </c>
      <c r="G16" s="287" t="s">
        <v>603</v>
      </c>
      <c r="H16" s="290" t="s">
        <v>322</v>
      </c>
      <c r="I16" s="203" t="s">
        <v>231</v>
      </c>
      <c r="J16" s="203" t="s">
        <v>605</v>
      </c>
      <c r="K16" s="204" t="s">
        <v>204</v>
      </c>
      <c r="L16" s="195" t="s">
        <v>204</v>
      </c>
      <c r="M16" s="203" t="s">
        <v>323</v>
      </c>
      <c r="N16" s="296" t="s">
        <v>234</v>
      </c>
      <c r="O16" s="296" t="s">
        <v>234</v>
      </c>
      <c r="P16" s="291" t="s">
        <v>607</v>
      </c>
      <c r="Q16" s="291" t="s">
        <v>608</v>
      </c>
      <c r="R16" s="203" t="s">
        <v>235</v>
      </c>
      <c r="S16" s="205" t="s">
        <v>204</v>
      </c>
      <c r="T16" s="204" t="s">
        <v>204</v>
      </c>
      <c r="U16" s="195" t="s">
        <v>204</v>
      </c>
      <c r="V16" s="195"/>
      <c r="W16" s="286" t="s">
        <v>170</v>
      </c>
      <c r="X16" s="284">
        <v>20250625</v>
      </c>
    </row>
    <row r="17" spans="1:24" ht="62.25" hidden="1" customHeight="1">
      <c r="A17" s="284" t="s">
        <v>146</v>
      </c>
      <c r="B17" s="285" t="s">
        <v>658</v>
      </c>
      <c r="C17" s="292" t="s">
        <v>68</v>
      </c>
      <c r="D17" s="286" t="s">
        <v>659</v>
      </c>
      <c r="E17" s="285" t="s">
        <v>660</v>
      </c>
      <c r="F17" s="286" t="s">
        <v>661</v>
      </c>
      <c r="G17" s="287" t="s">
        <v>595</v>
      </c>
      <c r="H17" s="193" t="s">
        <v>662</v>
      </c>
      <c r="I17" s="205" t="s">
        <v>656</v>
      </c>
      <c r="J17" s="205" t="s">
        <v>204</v>
      </c>
      <c r="K17" s="204" t="s">
        <v>204</v>
      </c>
      <c r="L17" s="299" t="s">
        <v>204</v>
      </c>
      <c r="M17" s="204" t="s">
        <v>204</v>
      </c>
      <c r="N17" s="204" t="s">
        <v>204</v>
      </c>
      <c r="O17" s="205" t="s">
        <v>204</v>
      </c>
      <c r="P17" s="291" t="s">
        <v>620</v>
      </c>
      <c r="Q17" s="291" t="s">
        <v>600</v>
      </c>
      <c r="R17" s="204" t="s">
        <v>204</v>
      </c>
      <c r="S17" s="205" t="s">
        <v>204</v>
      </c>
      <c r="T17" s="204" t="s">
        <v>204</v>
      </c>
      <c r="U17" s="195" t="s">
        <v>592</v>
      </c>
      <c r="V17" s="195"/>
      <c r="W17" s="286" t="s">
        <v>170</v>
      </c>
      <c r="X17" s="284">
        <v>20250625</v>
      </c>
    </row>
    <row r="18" spans="1:24" ht="62.25" hidden="1" customHeight="1">
      <c r="A18" s="284" t="s">
        <v>146</v>
      </c>
      <c r="B18" s="285" t="s">
        <v>333</v>
      </c>
      <c r="C18" s="292" t="s">
        <v>68</v>
      </c>
      <c r="D18" s="286" t="s">
        <v>334</v>
      </c>
      <c r="E18" s="285" t="s">
        <v>335</v>
      </c>
      <c r="F18" s="286" t="s">
        <v>336</v>
      </c>
      <c r="G18" s="287" t="s">
        <v>663</v>
      </c>
      <c r="H18" s="193" t="s">
        <v>662</v>
      </c>
      <c r="I18" s="205" t="s">
        <v>656</v>
      </c>
      <c r="J18" s="205" t="s">
        <v>204</v>
      </c>
      <c r="K18" s="204" t="s">
        <v>204</v>
      </c>
      <c r="L18" s="299" t="s">
        <v>204</v>
      </c>
      <c r="M18" s="204" t="s">
        <v>204</v>
      </c>
      <c r="N18" s="204" t="s">
        <v>204</v>
      </c>
      <c r="O18" s="205" t="s">
        <v>204</v>
      </c>
      <c r="P18" s="291" t="s">
        <v>620</v>
      </c>
      <c r="Q18" s="291" t="s">
        <v>600</v>
      </c>
      <c r="R18" s="204" t="s">
        <v>204</v>
      </c>
      <c r="S18" s="205" t="s">
        <v>204</v>
      </c>
      <c r="T18" s="204" t="s">
        <v>204</v>
      </c>
      <c r="U18" s="195" t="s">
        <v>592</v>
      </c>
      <c r="V18" s="195"/>
      <c r="W18" s="286" t="s">
        <v>170</v>
      </c>
      <c r="X18" s="284">
        <v>20250625</v>
      </c>
    </row>
    <row r="19" spans="1:24" ht="62.25" hidden="1" customHeight="1">
      <c r="A19" s="284" t="s">
        <v>664</v>
      </c>
      <c r="B19" s="300" t="s">
        <v>665</v>
      </c>
      <c r="C19" s="211" t="s">
        <v>666</v>
      </c>
      <c r="D19" s="286" t="s">
        <v>667</v>
      </c>
      <c r="E19" s="300" t="s">
        <v>668</v>
      </c>
      <c r="F19" s="286" t="s">
        <v>669</v>
      </c>
      <c r="G19" s="287" t="s">
        <v>603</v>
      </c>
      <c r="H19" s="192" t="s">
        <v>670</v>
      </c>
      <c r="I19" s="203" t="s">
        <v>231</v>
      </c>
      <c r="J19" s="203" t="s">
        <v>605</v>
      </c>
      <c r="K19" s="195" t="s">
        <v>204</v>
      </c>
      <c r="L19" s="195" t="s">
        <v>204</v>
      </c>
      <c r="M19" s="203" t="s">
        <v>323</v>
      </c>
      <c r="N19" s="296" t="s">
        <v>234</v>
      </c>
      <c r="O19" s="296" t="s">
        <v>234</v>
      </c>
      <c r="P19" s="291" t="s">
        <v>615</v>
      </c>
      <c r="Q19" s="291" t="s">
        <v>608</v>
      </c>
      <c r="R19" s="203" t="s">
        <v>235</v>
      </c>
      <c r="S19" s="195" t="s">
        <v>204</v>
      </c>
      <c r="T19" s="195" t="s">
        <v>204</v>
      </c>
      <c r="U19" s="195" t="s">
        <v>204</v>
      </c>
      <c r="V19" s="195"/>
      <c r="W19" s="286" t="s">
        <v>671</v>
      </c>
      <c r="X19" s="284">
        <v>20250625</v>
      </c>
    </row>
    <row r="20" spans="1:24" ht="62.25" hidden="1" customHeight="1">
      <c r="A20" s="284" t="s">
        <v>664</v>
      </c>
      <c r="B20" s="300" t="s">
        <v>672</v>
      </c>
      <c r="C20" s="211" t="s">
        <v>673</v>
      </c>
      <c r="D20" s="286"/>
      <c r="E20" s="300" t="s">
        <v>674</v>
      </c>
      <c r="F20" s="286" t="s">
        <v>621</v>
      </c>
      <c r="G20" s="287" t="s">
        <v>595</v>
      </c>
      <c r="H20" s="298" t="s">
        <v>675</v>
      </c>
      <c r="I20" s="192" t="s">
        <v>623</v>
      </c>
      <c r="J20" s="192" t="s">
        <v>623</v>
      </c>
      <c r="K20" s="208" t="s">
        <v>624</v>
      </c>
      <c r="L20" s="208" t="s">
        <v>625</v>
      </c>
      <c r="M20" s="192" t="s">
        <v>626</v>
      </c>
      <c r="N20" s="192" t="s">
        <v>285</v>
      </c>
      <c r="O20" s="192" t="s">
        <v>356</v>
      </c>
      <c r="P20" s="298" t="s">
        <v>627</v>
      </c>
      <c r="Q20" s="298" t="s">
        <v>628</v>
      </c>
      <c r="R20" s="192" t="s">
        <v>313</v>
      </c>
      <c r="S20" s="195" t="s">
        <v>204</v>
      </c>
      <c r="T20" s="195" t="s">
        <v>204</v>
      </c>
      <c r="U20" s="195" t="s">
        <v>204</v>
      </c>
      <c r="V20" s="195"/>
      <c r="W20" s="286" t="s">
        <v>671</v>
      </c>
      <c r="X20" s="284">
        <v>20250625</v>
      </c>
    </row>
    <row r="21" spans="1:24" ht="62.25" hidden="1" customHeight="1">
      <c r="A21" s="284" t="s">
        <v>664</v>
      </c>
      <c r="B21" s="300" t="s">
        <v>676</v>
      </c>
      <c r="C21" s="211" t="s">
        <v>666</v>
      </c>
      <c r="D21" s="286"/>
      <c r="E21" s="300" t="s">
        <v>677</v>
      </c>
      <c r="F21" s="286" t="s">
        <v>678</v>
      </c>
      <c r="G21" s="287" t="s">
        <v>595</v>
      </c>
      <c r="H21" s="194" t="s">
        <v>679</v>
      </c>
      <c r="I21" s="208" t="s">
        <v>680</v>
      </c>
      <c r="J21" s="208" t="s">
        <v>680</v>
      </c>
      <c r="K21" s="194" t="s">
        <v>681</v>
      </c>
      <c r="L21" s="194" t="s">
        <v>681</v>
      </c>
      <c r="M21" s="208" t="s">
        <v>682</v>
      </c>
      <c r="N21" s="208" t="s">
        <v>682</v>
      </c>
      <c r="O21" s="208" t="s">
        <v>682</v>
      </c>
      <c r="P21" s="208" t="s">
        <v>682</v>
      </c>
      <c r="Q21" s="208" t="s">
        <v>682</v>
      </c>
      <c r="R21" s="208" t="s">
        <v>682</v>
      </c>
      <c r="S21" s="208" t="s">
        <v>682</v>
      </c>
      <c r="T21" s="208" t="s">
        <v>682</v>
      </c>
      <c r="U21" s="208" t="s">
        <v>682</v>
      </c>
      <c r="V21" s="195"/>
      <c r="W21" s="286" t="s">
        <v>671</v>
      </c>
      <c r="X21" s="284">
        <v>20250625</v>
      </c>
    </row>
    <row r="29" spans="1:24">
      <c r="A29" s="283" t="s">
        <v>683</v>
      </c>
    </row>
  </sheetData>
  <conditionalFormatting sqref="I1:U1">
    <cfRule type="expression" dxfId="59" priority="1">
      <formula>I1&lt;&gt;#REF!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48DF2-2275-4C63-B0E1-519E5B593D62}">
  <dimension ref="A1:O12"/>
  <sheetViews>
    <sheetView showGridLines="0" workbookViewId="0">
      <selection activeCell="A12" sqref="A12"/>
    </sheetView>
  </sheetViews>
  <sheetFormatPr defaultRowHeight="12"/>
  <cols>
    <col min="1" max="4" width="9" style="303"/>
    <col min="5" max="5" width="61.625" style="303" customWidth="1"/>
    <col min="6" max="7" width="9" style="303"/>
    <col min="8" max="8" width="42.875" style="301" customWidth="1"/>
    <col min="9" max="16384" width="9" style="303"/>
  </cols>
  <sheetData>
    <row r="1" spans="1:15" ht="111" customHeight="1">
      <c r="A1" s="281" t="s">
        <v>442</v>
      </c>
      <c r="B1" s="281" t="s">
        <v>1</v>
      </c>
      <c r="C1" s="281" t="s">
        <v>443</v>
      </c>
      <c r="D1" s="281" t="s">
        <v>444</v>
      </c>
      <c r="E1" s="281" t="s">
        <v>684</v>
      </c>
      <c r="F1" s="281" t="s">
        <v>446</v>
      </c>
      <c r="G1" s="281" t="s">
        <v>542</v>
      </c>
      <c r="H1" s="281" t="s">
        <v>11</v>
      </c>
      <c r="I1" s="282" t="s">
        <v>685</v>
      </c>
      <c r="J1" s="302" t="s">
        <v>45</v>
      </c>
      <c r="K1" s="302" t="s">
        <v>46</v>
      </c>
      <c r="L1" s="302" t="s">
        <v>47</v>
      </c>
      <c r="M1" s="281" t="s">
        <v>460</v>
      </c>
      <c r="N1" s="281" t="s">
        <v>461</v>
      </c>
      <c r="O1" s="281" t="s">
        <v>462</v>
      </c>
    </row>
    <row r="2" spans="1:15" s="283" customFormat="1" ht="135.75" hidden="1" customHeight="1">
      <c r="A2" s="284" t="s">
        <v>360</v>
      </c>
      <c r="B2" s="300" t="s">
        <v>386</v>
      </c>
      <c r="C2" s="292" t="s">
        <v>56</v>
      </c>
      <c r="D2" s="286" t="s">
        <v>387</v>
      </c>
      <c r="E2" s="285" t="s">
        <v>388</v>
      </c>
      <c r="F2" s="304" t="s">
        <v>137</v>
      </c>
      <c r="G2" s="287" t="s">
        <v>686</v>
      </c>
      <c r="H2" s="298" t="s">
        <v>687</v>
      </c>
      <c r="I2" s="304" t="s">
        <v>688</v>
      </c>
      <c r="J2" s="304"/>
      <c r="K2" s="304"/>
      <c r="L2" s="304"/>
      <c r="M2" s="305" t="s">
        <v>689</v>
      </c>
      <c r="N2" s="286" t="s">
        <v>170</v>
      </c>
      <c r="O2" s="284">
        <v>20250619</v>
      </c>
    </row>
    <row r="3" spans="1:15" s="283" customFormat="1" ht="135.75" hidden="1" customHeight="1">
      <c r="A3" s="284" t="s">
        <v>146</v>
      </c>
      <c r="B3" s="285" t="s">
        <v>690</v>
      </c>
      <c r="C3" s="292" t="s">
        <v>68</v>
      </c>
      <c r="D3" s="294" t="s">
        <v>278</v>
      </c>
      <c r="E3" s="285" t="s">
        <v>279</v>
      </c>
      <c r="F3" s="286" t="s">
        <v>691</v>
      </c>
      <c r="G3" s="287" t="s">
        <v>692</v>
      </c>
      <c r="H3" s="298" t="s">
        <v>693</v>
      </c>
      <c r="I3" s="304" t="s">
        <v>688</v>
      </c>
      <c r="J3" s="306"/>
      <c r="K3" s="306"/>
      <c r="L3" s="306"/>
      <c r="M3" s="286"/>
      <c r="N3" s="286" t="s">
        <v>170</v>
      </c>
      <c r="O3" s="284">
        <v>20250619</v>
      </c>
    </row>
    <row r="4" spans="1:15" s="283" customFormat="1" ht="135.75" hidden="1" customHeight="1">
      <c r="A4" s="284" t="s">
        <v>146</v>
      </c>
      <c r="B4" s="285" t="s">
        <v>694</v>
      </c>
      <c r="C4" s="292" t="s">
        <v>105</v>
      </c>
      <c r="D4" s="286" t="s">
        <v>308</v>
      </c>
      <c r="E4" s="285" t="s">
        <v>309</v>
      </c>
      <c r="F4" s="286" t="s">
        <v>310</v>
      </c>
      <c r="G4" s="287" t="s">
        <v>695</v>
      </c>
      <c r="H4" s="298" t="s">
        <v>696</v>
      </c>
      <c r="I4" s="304" t="s">
        <v>688</v>
      </c>
      <c r="J4" s="306"/>
      <c r="K4" s="306"/>
      <c r="L4" s="306"/>
      <c r="M4" s="286"/>
      <c r="N4" s="286" t="s">
        <v>170</v>
      </c>
      <c r="O4" s="284">
        <v>20250619</v>
      </c>
    </row>
    <row r="5" spans="1:15" s="283" customFormat="1" ht="135.75" hidden="1" customHeight="1">
      <c r="A5" s="284" t="s">
        <v>697</v>
      </c>
      <c r="B5" s="300" t="s">
        <v>698</v>
      </c>
      <c r="C5" s="211" t="s">
        <v>699</v>
      </c>
      <c r="D5" s="286"/>
      <c r="E5" s="300" t="s">
        <v>700</v>
      </c>
      <c r="F5" s="286" t="s">
        <v>691</v>
      </c>
      <c r="G5" s="287" t="s">
        <v>692</v>
      </c>
      <c r="H5" s="298" t="s">
        <v>701</v>
      </c>
      <c r="I5" s="286" t="s">
        <v>688</v>
      </c>
      <c r="J5" s="211"/>
      <c r="K5" s="211"/>
      <c r="L5" s="211"/>
      <c r="M5" s="286"/>
      <c r="N5" s="286" t="s">
        <v>702</v>
      </c>
      <c r="O5" s="284">
        <v>20250619</v>
      </c>
    </row>
    <row r="6" spans="1:15" s="283" customFormat="1" ht="135.75" hidden="1" customHeight="1">
      <c r="A6" s="284" t="s">
        <v>697</v>
      </c>
      <c r="B6" s="300" t="s">
        <v>703</v>
      </c>
      <c r="C6" s="211" t="s">
        <v>704</v>
      </c>
      <c r="D6" s="286"/>
      <c r="E6" s="300" t="s">
        <v>705</v>
      </c>
      <c r="F6" s="286" t="s">
        <v>706</v>
      </c>
      <c r="G6" s="287" t="s">
        <v>695</v>
      </c>
      <c r="H6" s="194" t="s">
        <v>707</v>
      </c>
      <c r="I6" s="307" t="s">
        <v>708</v>
      </c>
      <c r="J6" s="307"/>
      <c r="K6" s="307"/>
      <c r="L6" s="307"/>
      <c r="M6" s="286"/>
      <c r="N6" s="286" t="s">
        <v>702</v>
      </c>
      <c r="O6" s="284">
        <v>20250619</v>
      </c>
    </row>
    <row r="12" spans="1:15">
      <c r="A12" s="283" t="s">
        <v>709</v>
      </c>
    </row>
  </sheetData>
  <conditionalFormatting sqref="I1">
    <cfRule type="expression" dxfId="58" priority="4">
      <formula>I1&lt;&gt;#REF!</formula>
    </cfRule>
  </conditionalFormatting>
  <conditionalFormatting sqref="J1:L1">
    <cfRule type="cellIs" dxfId="57" priority="1" operator="equal">
      <formula>"fail"</formula>
    </cfRule>
    <cfRule type="cellIs" dxfId="56" priority="2" operator="equal">
      <formula>"pass"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22F42F20-25EF-493E-846F-DE8251767135}">
            <xm:f>J1&lt;&gt;测试用例!#REF!</xm:f>
            <x14:dxf>
              <fill>
                <patternFill>
                  <bgColor rgb="FF92D050"/>
                </patternFill>
              </fill>
            </x14:dxf>
          </x14:cfRule>
          <xm:sqref>J1:L1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D4DDD-B7EE-4C92-A6EA-553D6409E6D8}">
  <dimension ref="A1:AA15"/>
  <sheetViews>
    <sheetView showGridLines="0" topLeftCell="E1" workbookViewId="0">
      <selection activeCell="T2" sqref="T2:T11"/>
    </sheetView>
  </sheetViews>
  <sheetFormatPr defaultRowHeight="12"/>
  <cols>
    <col min="1" max="2" width="9" style="283"/>
    <col min="3" max="3" width="0" style="283" hidden="1" customWidth="1"/>
    <col min="4" max="4" width="11.125" style="283" hidden="1" customWidth="1"/>
    <col min="5" max="5" width="53.875" style="309" customWidth="1"/>
    <col min="6" max="6" width="13.25" style="283" customWidth="1"/>
    <col min="7" max="7" width="9" style="310"/>
    <col min="8" max="8" width="40.375" style="283" customWidth="1"/>
    <col min="9" max="16" width="0" style="283" hidden="1" customWidth="1"/>
    <col min="17" max="20" width="9" style="283"/>
    <col min="21" max="24" width="0" style="283" hidden="1" customWidth="1"/>
    <col min="25" max="26" width="9" style="283"/>
    <col min="27" max="27" width="13" style="283" bestFit="1" customWidth="1"/>
    <col min="28" max="16384" width="9" style="283"/>
  </cols>
  <sheetData>
    <row r="1" spans="1:27" ht="63.75" customHeight="1">
      <c r="A1" s="281" t="s">
        <v>442</v>
      </c>
      <c r="B1" s="281" t="s">
        <v>1</v>
      </c>
      <c r="C1" s="281" t="s">
        <v>443</v>
      </c>
      <c r="D1" s="281" t="s">
        <v>444</v>
      </c>
      <c r="E1" s="281" t="s">
        <v>541</v>
      </c>
      <c r="F1" s="281" t="s">
        <v>446</v>
      </c>
      <c r="G1" s="281" t="s">
        <v>542</v>
      </c>
      <c r="H1" s="281" t="s">
        <v>11</v>
      </c>
      <c r="I1" s="282" t="s">
        <v>543</v>
      </c>
      <c r="J1" s="282" t="s">
        <v>544</v>
      </c>
      <c r="K1" s="282" t="s">
        <v>545</v>
      </c>
      <c r="L1" s="282" t="s">
        <v>21</v>
      </c>
      <c r="M1" s="282" t="s">
        <v>547</v>
      </c>
      <c r="N1" s="282" t="s">
        <v>548</v>
      </c>
      <c r="O1" s="282" t="s">
        <v>549</v>
      </c>
      <c r="P1" s="282" t="s">
        <v>550</v>
      </c>
      <c r="Q1" s="282" t="s">
        <v>551</v>
      </c>
      <c r="R1" s="209" t="s">
        <v>45</v>
      </c>
      <c r="S1" s="209" t="s">
        <v>46</v>
      </c>
      <c r="T1" s="209" t="s">
        <v>47</v>
      </c>
      <c r="U1" s="282" t="s">
        <v>552</v>
      </c>
      <c r="V1" s="282" t="s">
        <v>28</v>
      </c>
      <c r="W1" s="282" t="s">
        <v>553</v>
      </c>
      <c r="X1" s="282" t="s">
        <v>554</v>
      </c>
      <c r="Y1" s="281" t="s">
        <v>460</v>
      </c>
      <c r="Z1" s="281" t="s">
        <v>461</v>
      </c>
      <c r="AA1" s="281" t="s">
        <v>462</v>
      </c>
    </row>
    <row r="2" spans="1:27" ht="56.25" customHeight="1">
      <c r="A2" s="284" t="s">
        <v>710</v>
      </c>
      <c r="B2" s="285" t="s">
        <v>711</v>
      </c>
      <c r="C2" s="211" t="s">
        <v>712</v>
      </c>
      <c r="D2" s="286" t="s">
        <v>713</v>
      </c>
      <c r="E2" s="292" t="s">
        <v>714</v>
      </c>
      <c r="F2" s="286" t="s">
        <v>715</v>
      </c>
      <c r="G2" s="352" t="s">
        <v>716</v>
      </c>
      <c r="H2" s="305" t="s">
        <v>717</v>
      </c>
      <c r="I2" s="289" t="s">
        <v>204</v>
      </c>
      <c r="J2" s="289" t="s">
        <v>204</v>
      </c>
      <c r="K2" s="289" t="s">
        <v>204</v>
      </c>
      <c r="L2" s="286" t="s">
        <v>718</v>
      </c>
      <c r="M2" s="289" t="s">
        <v>204</v>
      </c>
      <c r="N2" s="289" t="s">
        <v>204</v>
      </c>
      <c r="O2" s="289" t="s">
        <v>204</v>
      </c>
      <c r="P2" s="286" t="s">
        <v>718</v>
      </c>
      <c r="Q2" s="300" t="s">
        <v>718</v>
      </c>
      <c r="R2" s="355" t="s">
        <v>13</v>
      </c>
      <c r="S2" s="355"/>
      <c r="T2" s="358" t="s">
        <v>719</v>
      </c>
      <c r="U2" s="289" t="s">
        <v>204</v>
      </c>
      <c r="V2" s="289" t="s">
        <v>204</v>
      </c>
      <c r="W2" s="289" t="s">
        <v>204</v>
      </c>
      <c r="X2" s="286" t="s">
        <v>718</v>
      </c>
      <c r="Y2" s="286"/>
      <c r="Z2" s="307" t="s">
        <v>720</v>
      </c>
      <c r="AA2" s="284">
        <v>20250610</v>
      </c>
    </row>
    <row r="3" spans="1:27" ht="56.25" customHeight="1">
      <c r="A3" s="284" t="s">
        <v>103</v>
      </c>
      <c r="B3" s="308" t="s">
        <v>721</v>
      </c>
      <c r="C3" s="292" t="s">
        <v>68</v>
      </c>
      <c r="D3" s="287" t="s">
        <v>722</v>
      </c>
      <c r="E3" s="211" t="s">
        <v>723</v>
      </c>
      <c r="F3" s="286" t="s">
        <v>724</v>
      </c>
      <c r="G3" s="353"/>
      <c r="H3" s="305" t="s">
        <v>717</v>
      </c>
      <c r="I3" s="289" t="s">
        <v>204</v>
      </c>
      <c r="J3" s="289" t="s">
        <v>204</v>
      </c>
      <c r="K3" s="289" t="s">
        <v>204</v>
      </c>
      <c r="L3" s="286" t="s">
        <v>718</v>
      </c>
      <c r="M3" s="289" t="s">
        <v>204</v>
      </c>
      <c r="N3" s="289" t="s">
        <v>204</v>
      </c>
      <c r="O3" s="289" t="s">
        <v>204</v>
      </c>
      <c r="P3" s="286" t="s">
        <v>718</v>
      </c>
      <c r="Q3" s="286" t="s">
        <v>718</v>
      </c>
      <c r="R3" s="356"/>
      <c r="S3" s="356"/>
      <c r="T3" s="356"/>
      <c r="U3" s="289" t="s">
        <v>204</v>
      </c>
      <c r="V3" s="289" t="s">
        <v>204</v>
      </c>
      <c r="W3" s="289" t="s">
        <v>204</v>
      </c>
      <c r="X3" s="286" t="s">
        <v>718</v>
      </c>
      <c r="Y3" s="286"/>
      <c r="Z3" s="307" t="s">
        <v>720</v>
      </c>
      <c r="AA3" s="284">
        <v>20250610</v>
      </c>
    </row>
    <row r="4" spans="1:27" ht="56.25" customHeight="1">
      <c r="A4" s="284" t="s">
        <v>103</v>
      </c>
      <c r="B4" s="308" t="s">
        <v>725</v>
      </c>
      <c r="C4" s="292" t="s">
        <v>68</v>
      </c>
      <c r="D4" s="287" t="s">
        <v>726</v>
      </c>
      <c r="E4" s="211" t="s">
        <v>727</v>
      </c>
      <c r="F4" s="286" t="s">
        <v>724</v>
      </c>
      <c r="G4" s="353"/>
      <c r="H4" s="305" t="s">
        <v>717</v>
      </c>
      <c r="I4" s="289" t="s">
        <v>204</v>
      </c>
      <c r="J4" s="289" t="s">
        <v>204</v>
      </c>
      <c r="K4" s="289" t="s">
        <v>204</v>
      </c>
      <c r="L4" s="286" t="s">
        <v>718</v>
      </c>
      <c r="M4" s="289" t="s">
        <v>204</v>
      </c>
      <c r="N4" s="289" t="s">
        <v>204</v>
      </c>
      <c r="O4" s="289" t="s">
        <v>204</v>
      </c>
      <c r="P4" s="286" t="s">
        <v>718</v>
      </c>
      <c r="Q4" s="286" t="s">
        <v>718</v>
      </c>
      <c r="R4" s="356"/>
      <c r="S4" s="356"/>
      <c r="T4" s="356"/>
      <c r="U4" s="289" t="s">
        <v>204</v>
      </c>
      <c r="V4" s="289" t="s">
        <v>204</v>
      </c>
      <c r="W4" s="289" t="s">
        <v>204</v>
      </c>
      <c r="X4" s="286" t="s">
        <v>718</v>
      </c>
      <c r="Y4" s="286"/>
      <c r="Z4" s="307" t="s">
        <v>720</v>
      </c>
      <c r="AA4" s="284">
        <v>20250610</v>
      </c>
    </row>
    <row r="5" spans="1:27" ht="56.25" customHeight="1">
      <c r="A5" s="284" t="s">
        <v>103</v>
      </c>
      <c r="B5" s="308" t="s">
        <v>728</v>
      </c>
      <c r="C5" s="292" t="s">
        <v>68</v>
      </c>
      <c r="D5" s="287" t="s">
        <v>729</v>
      </c>
      <c r="E5" s="211" t="s">
        <v>730</v>
      </c>
      <c r="F5" s="286" t="s">
        <v>724</v>
      </c>
      <c r="G5" s="353"/>
      <c r="H5" s="305" t="s">
        <v>717</v>
      </c>
      <c r="I5" s="289" t="s">
        <v>204</v>
      </c>
      <c r="J5" s="289" t="s">
        <v>204</v>
      </c>
      <c r="K5" s="289" t="s">
        <v>204</v>
      </c>
      <c r="L5" s="286" t="s">
        <v>718</v>
      </c>
      <c r="M5" s="289" t="s">
        <v>204</v>
      </c>
      <c r="N5" s="289" t="s">
        <v>204</v>
      </c>
      <c r="O5" s="289" t="s">
        <v>204</v>
      </c>
      <c r="P5" s="286" t="s">
        <v>718</v>
      </c>
      <c r="Q5" s="286" t="s">
        <v>718</v>
      </c>
      <c r="R5" s="356"/>
      <c r="S5" s="356"/>
      <c r="T5" s="356"/>
      <c r="U5" s="289" t="s">
        <v>204</v>
      </c>
      <c r="V5" s="289" t="s">
        <v>204</v>
      </c>
      <c r="W5" s="289" t="s">
        <v>204</v>
      </c>
      <c r="X5" s="286" t="s">
        <v>718</v>
      </c>
      <c r="Y5" s="286"/>
      <c r="Z5" s="307" t="s">
        <v>720</v>
      </c>
      <c r="AA5" s="284">
        <v>20250610</v>
      </c>
    </row>
    <row r="6" spans="1:27" ht="56.25" customHeight="1">
      <c r="A6" s="284" t="s">
        <v>103</v>
      </c>
      <c r="B6" s="308" t="s">
        <v>731</v>
      </c>
      <c r="C6" s="292" t="s">
        <v>68</v>
      </c>
      <c r="D6" s="287" t="s">
        <v>732</v>
      </c>
      <c r="E6" s="211" t="s">
        <v>733</v>
      </c>
      <c r="F6" s="286" t="s">
        <v>724</v>
      </c>
      <c r="G6" s="353"/>
      <c r="H6" s="305" t="s">
        <v>717</v>
      </c>
      <c r="I6" s="289" t="s">
        <v>204</v>
      </c>
      <c r="J6" s="289" t="s">
        <v>204</v>
      </c>
      <c r="K6" s="289" t="s">
        <v>204</v>
      </c>
      <c r="L6" s="286" t="s">
        <v>718</v>
      </c>
      <c r="M6" s="289" t="s">
        <v>204</v>
      </c>
      <c r="N6" s="289" t="s">
        <v>204</v>
      </c>
      <c r="O6" s="289" t="s">
        <v>204</v>
      </c>
      <c r="P6" s="286" t="s">
        <v>718</v>
      </c>
      <c r="Q6" s="286" t="s">
        <v>718</v>
      </c>
      <c r="R6" s="356"/>
      <c r="S6" s="356"/>
      <c r="T6" s="356"/>
      <c r="U6" s="289" t="s">
        <v>204</v>
      </c>
      <c r="V6" s="289" t="s">
        <v>204</v>
      </c>
      <c r="W6" s="289" t="s">
        <v>204</v>
      </c>
      <c r="X6" s="286" t="s">
        <v>718</v>
      </c>
      <c r="Y6" s="286"/>
      <c r="Z6" s="307" t="s">
        <v>720</v>
      </c>
      <c r="AA6" s="284">
        <v>20250610</v>
      </c>
    </row>
    <row r="7" spans="1:27" ht="56.25" customHeight="1">
      <c r="A7" s="284" t="s">
        <v>710</v>
      </c>
      <c r="B7" s="285" t="s">
        <v>734</v>
      </c>
      <c r="C7" s="211" t="s">
        <v>712</v>
      </c>
      <c r="D7" s="286" t="s">
        <v>735</v>
      </c>
      <c r="E7" s="292" t="s">
        <v>736</v>
      </c>
      <c r="F7" s="286" t="s">
        <v>715</v>
      </c>
      <c r="G7" s="353"/>
      <c r="H7" s="287" t="s">
        <v>737</v>
      </c>
      <c r="I7" s="289" t="s">
        <v>204</v>
      </c>
      <c r="J7" s="289" t="s">
        <v>204</v>
      </c>
      <c r="K7" s="289" t="s">
        <v>204</v>
      </c>
      <c r="L7" s="286" t="s">
        <v>718</v>
      </c>
      <c r="M7" s="289" t="s">
        <v>204</v>
      </c>
      <c r="N7" s="289" t="s">
        <v>204</v>
      </c>
      <c r="O7" s="289" t="s">
        <v>204</v>
      </c>
      <c r="P7" s="286" t="s">
        <v>718</v>
      </c>
      <c r="Q7" s="286" t="s">
        <v>718</v>
      </c>
      <c r="R7" s="356"/>
      <c r="S7" s="356"/>
      <c r="T7" s="356"/>
      <c r="U7" s="289" t="s">
        <v>204</v>
      </c>
      <c r="V7" s="289" t="s">
        <v>204</v>
      </c>
      <c r="W7" s="289" t="s">
        <v>204</v>
      </c>
      <c r="X7" s="286" t="s">
        <v>718</v>
      </c>
      <c r="Y7" s="286"/>
      <c r="Z7" s="307" t="s">
        <v>720</v>
      </c>
      <c r="AA7" s="284">
        <v>20250610</v>
      </c>
    </row>
    <row r="8" spans="1:27" ht="56.25" customHeight="1">
      <c r="A8" s="284" t="s">
        <v>103</v>
      </c>
      <c r="B8" s="308" t="s">
        <v>738</v>
      </c>
      <c r="C8" s="292" t="s">
        <v>68</v>
      </c>
      <c r="D8" s="287" t="s">
        <v>739</v>
      </c>
      <c r="E8" s="211" t="s">
        <v>740</v>
      </c>
      <c r="F8" s="286" t="s">
        <v>724</v>
      </c>
      <c r="G8" s="353"/>
      <c r="H8" s="287" t="s">
        <v>737</v>
      </c>
      <c r="I8" s="289" t="s">
        <v>204</v>
      </c>
      <c r="J8" s="289" t="s">
        <v>204</v>
      </c>
      <c r="K8" s="289" t="s">
        <v>204</v>
      </c>
      <c r="L8" s="286" t="s">
        <v>718</v>
      </c>
      <c r="M8" s="289" t="s">
        <v>204</v>
      </c>
      <c r="N8" s="289" t="s">
        <v>204</v>
      </c>
      <c r="O8" s="289" t="s">
        <v>204</v>
      </c>
      <c r="P8" s="286" t="s">
        <v>718</v>
      </c>
      <c r="Q8" s="286" t="s">
        <v>718</v>
      </c>
      <c r="R8" s="356"/>
      <c r="S8" s="356"/>
      <c r="T8" s="356"/>
      <c r="U8" s="289" t="s">
        <v>204</v>
      </c>
      <c r="V8" s="289" t="s">
        <v>204</v>
      </c>
      <c r="W8" s="289" t="s">
        <v>204</v>
      </c>
      <c r="X8" s="286" t="s">
        <v>718</v>
      </c>
      <c r="Y8" s="286"/>
      <c r="Z8" s="307" t="s">
        <v>720</v>
      </c>
      <c r="AA8" s="284">
        <v>20250610</v>
      </c>
    </row>
    <row r="9" spans="1:27" ht="56.25" customHeight="1">
      <c r="A9" s="284" t="s">
        <v>103</v>
      </c>
      <c r="B9" s="308" t="s">
        <v>741</v>
      </c>
      <c r="C9" s="292" t="s">
        <v>68</v>
      </c>
      <c r="D9" s="287" t="s">
        <v>742</v>
      </c>
      <c r="E9" s="211" t="s">
        <v>743</v>
      </c>
      <c r="F9" s="286" t="s">
        <v>724</v>
      </c>
      <c r="G9" s="353"/>
      <c r="H9" s="287" t="s">
        <v>737</v>
      </c>
      <c r="I9" s="289" t="s">
        <v>204</v>
      </c>
      <c r="J9" s="289" t="s">
        <v>204</v>
      </c>
      <c r="K9" s="289" t="s">
        <v>204</v>
      </c>
      <c r="L9" s="286" t="s">
        <v>718</v>
      </c>
      <c r="M9" s="289" t="s">
        <v>204</v>
      </c>
      <c r="N9" s="289" t="s">
        <v>204</v>
      </c>
      <c r="O9" s="289" t="s">
        <v>204</v>
      </c>
      <c r="P9" s="286" t="s">
        <v>718</v>
      </c>
      <c r="Q9" s="286" t="s">
        <v>718</v>
      </c>
      <c r="R9" s="356"/>
      <c r="S9" s="356"/>
      <c r="T9" s="356"/>
      <c r="U9" s="289" t="s">
        <v>204</v>
      </c>
      <c r="V9" s="289" t="s">
        <v>204</v>
      </c>
      <c r="W9" s="289" t="s">
        <v>204</v>
      </c>
      <c r="X9" s="286" t="s">
        <v>718</v>
      </c>
      <c r="Y9" s="286"/>
      <c r="Z9" s="307" t="s">
        <v>720</v>
      </c>
      <c r="AA9" s="284">
        <v>20250610</v>
      </c>
    </row>
    <row r="10" spans="1:27" ht="56.25" customHeight="1">
      <c r="A10" s="284" t="s">
        <v>103</v>
      </c>
      <c r="B10" s="308" t="s">
        <v>744</v>
      </c>
      <c r="C10" s="292" t="s">
        <v>68</v>
      </c>
      <c r="D10" s="287" t="s">
        <v>745</v>
      </c>
      <c r="E10" s="211" t="s">
        <v>746</v>
      </c>
      <c r="F10" s="286" t="s">
        <v>724</v>
      </c>
      <c r="G10" s="353"/>
      <c r="H10" s="287" t="s">
        <v>737</v>
      </c>
      <c r="I10" s="289" t="s">
        <v>204</v>
      </c>
      <c r="J10" s="289" t="s">
        <v>204</v>
      </c>
      <c r="K10" s="289" t="s">
        <v>204</v>
      </c>
      <c r="L10" s="286" t="s">
        <v>718</v>
      </c>
      <c r="M10" s="289" t="s">
        <v>204</v>
      </c>
      <c r="N10" s="289" t="s">
        <v>204</v>
      </c>
      <c r="O10" s="289" t="s">
        <v>204</v>
      </c>
      <c r="P10" s="286" t="s">
        <v>718</v>
      </c>
      <c r="Q10" s="286" t="s">
        <v>718</v>
      </c>
      <c r="R10" s="356"/>
      <c r="S10" s="356"/>
      <c r="T10" s="356"/>
      <c r="U10" s="289" t="s">
        <v>204</v>
      </c>
      <c r="V10" s="289" t="s">
        <v>204</v>
      </c>
      <c r="W10" s="289" t="s">
        <v>204</v>
      </c>
      <c r="X10" s="286" t="s">
        <v>718</v>
      </c>
      <c r="Y10" s="286"/>
      <c r="Z10" s="307" t="s">
        <v>720</v>
      </c>
      <c r="AA10" s="284">
        <v>20250610</v>
      </c>
    </row>
    <row r="11" spans="1:27" ht="56.25" customHeight="1">
      <c r="A11" s="284" t="s">
        <v>103</v>
      </c>
      <c r="B11" s="308" t="s">
        <v>747</v>
      </c>
      <c r="C11" s="292" t="s">
        <v>68</v>
      </c>
      <c r="D11" s="287" t="s">
        <v>748</v>
      </c>
      <c r="E11" s="211" t="s">
        <v>749</v>
      </c>
      <c r="F11" s="286" t="s">
        <v>724</v>
      </c>
      <c r="G11" s="354"/>
      <c r="H11" s="287" t="s">
        <v>737</v>
      </c>
      <c r="I11" s="289" t="s">
        <v>204</v>
      </c>
      <c r="J11" s="289" t="s">
        <v>204</v>
      </c>
      <c r="K11" s="289" t="s">
        <v>204</v>
      </c>
      <c r="L11" s="286" t="s">
        <v>718</v>
      </c>
      <c r="M11" s="289" t="s">
        <v>204</v>
      </c>
      <c r="N11" s="289" t="s">
        <v>204</v>
      </c>
      <c r="O11" s="289" t="s">
        <v>204</v>
      </c>
      <c r="P11" s="286" t="s">
        <v>718</v>
      </c>
      <c r="Q11" s="286" t="s">
        <v>718</v>
      </c>
      <c r="R11" s="357"/>
      <c r="S11" s="357"/>
      <c r="T11" s="357"/>
      <c r="U11" s="289" t="s">
        <v>204</v>
      </c>
      <c r="V11" s="289" t="s">
        <v>204</v>
      </c>
      <c r="W11" s="289" t="s">
        <v>204</v>
      </c>
      <c r="X11" s="286" t="s">
        <v>718</v>
      </c>
      <c r="Y11" s="286"/>
      <c r="Z11" s="307" t="s">
        <v>720</v>
      </c>
      <c r="AA11" s="284">
        <v>20250610</v>
      </c>
    </row>
    <row r="12" spans="1:27" ht="56.25" hidden="1" customHeight="1">
      <c r="A12" s="284" t="s">
        <v>750</v>
      </c>
      <c r="B12" s="300" t="s">
        <v>751</v>
      </c>
      <c r="C12" s="211" t="s">
        <v>568</v>
      </c>
      <c r="D12" s="286" t="s">
        <v>752</v>
      </c>
      <c r="E12" s="211" t="s">
        <v>753</v>
      </c>
      <c r="F12" s="286" t="s">
        <v>118</v>
      </c>
      <c r="G12" s="352" t="s">
        <v>754</v>
      </c>
      <c r="H12" s="307" t="s">
        <v>755</v>
      </c>
      <c r="I12" s="286" t="s">
        <v>718</v>
      </c>
      <c r="J12" s="286" t="s">
        <v>718</v>
      </c>
      <c r="K12" s="286" t="s">
        <v>718</v>
      </c>
      <c r="L12" s="286" t="s">
        <v>718</v>
      </c>
      <c r="M12" s="286" t="s">
        <v>718</v>
      </c>
      <c r="N12" s="286" t="s">
        <v>718</v>
      </c>
      <c r="O12" s="286" t="s">
        <v>718</v>
      </c>
      <c r="P12" s="286" t="s">
        <v>718</v>
      </c>
      <c r="Q12" s="286" t="s">
        <v>718</v>
      </c>
      <c r="R12" s="286"/>
      <c r="S12" s="286"/>
      <c r="T12" s="286"/>
      <c r="U12" s="286" t="s">
        <v>718</v>
      </c>
      <c r="V12" s="286" t="s">
        <v>718</v>
      </c>
      <c r="W12" s="286" t="s">
        <v>718</v>
      </c>
      <c r="X12" s="286" t="s">
        <v>718</v>
      </c>
      <c r="Y12" s="286"/>
      <c r="Z12" s="286" t="s">
        <v>756</v>
      </c>
      <c r="AA12" s="284">
        <v>20250610</v>
      </c>
    </row>
    <row r="13" spans="1:27" ht="56.25" hidden="1" customHeight="1">
      <c r="A13" s="284" t="s">
        <v>750</v>
      </c>
      <c r="B13" s="300" t="s">
        <v>757</v>
      </c>
      <c r="C13" s="211" t="s">
        <v>568</v>
      </c>
      <c r="D13" s="286" t="s">
        <v>758</v>
      </c>
      <c r="E13" s="211" t="s">
        <v>759</v>
      </c>
      <c r="F13" s="286" t="s">
        <v>118</v>
      </c>
      <c r="G13" s="353"/>
      <c r="H13" s="307" t="s">
        <v>755</v>
      </c>
      <c r="I13" s="286" t="s">
        <v>718</v>
      </c>
      <c r="J13" s="286" t="s">
        <v>718</v>
      </c>
      <c r="K13" s="286" t="s">
        <v>718</v>
      </c>
      <c r="L13" s="286" t="s">
        <v>718</v>
      </c>
      <c r="M13" s="286" t="s">
        <v>718</v>
      </c>
      <c r="N13" s="286" t="s">
        <v>718</v>
      </c>
      <c r="O13" s="286" t="s">
        <v>718</v>
      </c>
      <c r="P13" s="286" t="s">
        <v>718</v>
      </c>
      <c r="Q13" s="286" t="s">
        <v>718</v>
      </c>
      <c r="R13" s="286"/>
      <c r="S13" s="286"/>
      <c r="T13" s="286"/>
      <c r="U13" s="286" t="s">
        <v>718</v>
      </c>
      <c r="V13" s="286" t="s">
        <v>718</v>
      </c>
      <c r="W13" s="286" t="s">
        <v>718</v>
      </c>
      <c r="X13" s="286" t="s">
        <v>718</v>
      </c>
      <c r="Y13" s="286"/>
      <c r="Z13" s="286" t="s">
        <v>756</v>
      </c>
      <c r="AA13" s="284">
        <v>20250610</v>
      </c>
    </row>
    <row r="14" spans="1:27" ht="56.25" hidden="1" customHeight="1">
      <c r="A14" s="284" t="s">
        <v>750</v>
      </c>
      <c r="B14" s="300" t="s">
        <v>760</v>
      </c>
      <c r="C14" s="211" t="s">
        <v>568</v>
      </c>
      <c r="D14" s="286" t="s">
        <v>761</v>
      </c>
      <c r="E14" s="211" t="s">
        <v>762</v>
      </c>
      <c r="F14" s="286" t="s">
        <v>118</v>
      </c>
      <c r="G14" s="353"/>
      <c r="H14" s="307" t="s">
        <v>755</v>
      </c>
      <c r="I14" s="286" t="s">
        <v>718</v>
      </c>
      <c r="J14" s="286" t="s">
        <v>718</v>
      </c>
      <c r="K14" s="286" t="s">
        <v>718</v>
      </c>
      <c r="L14" s="286" t="s">
        <v>718</v>
      </c>
      <c r="M14" s="286" t="s">
        <v>718</v>
      </c>
      <c r="N14" s="286" t="s">
        <v>718</v>
      </c>
      <c r="O14" s="286" t="s">
        <v>718</v>
      </c>
      <c r="P14" s="286" t="s">
        <v>718</v>
      </c>
      <c r="Q14" s="286" t="s">
        <v>718</v>
      </c>
      <c r="R14" s="286"/>
      <c r="S14" s="286"/>
      <c r="T14" s="286"/>
      <c r="U14" s="286" t="s">
        <v>718</v>
      </c>
      <c r="V14" s="286" t="s">
        <v>718</v>
      </c>
      <c r="W14" s="286" t="s">
        <v>718</v>
      </c>
      <c r="X14" s="286" t="s">
        <v>718</v>
      </c>
      <c r="Y14" s="286"/>
      <c r="Z14" s="286" t="s">
        <v>756</v>
      </c>
      <c r="AA14" s="284">
        <v>20250610</v>
      </c>
    </row>
    <row r="15" spans="1:27" ht="56.25" hidden="1" customHeight="1">
      <c r="A15" s="284" t="s">
        <v>750</v>
      </c>
      <c r="B15" s="300" t="s">
        <v>763</v>
      </c>
      <c r="C15" s="211" t="s">
        <v>568</v>
      </c>
      <c r="D15" s="286" t="s">
        <v>764</v>
      </c>
      <c r="E15" s="211" t="s">
        <v>765</v>
      </c>
      <c r="F15" s="286" t="s">
        <v>118</v>
      </c>
      <c r="G15" s="354"/>
      <c r="H15" s="307" t="s">
        <v>755</v>
      </c>
      <c r="I15" s="286" t="s">
        <v>718</v>
      </c>
      <c r="J15" s="286" t="s">
        <v>718</v>
      </c>
      <c r="K15" s="286" t="s">
        <v>718</v>
      </c>
      <c r="L15" s="286" t="s">
        <v>718</v>
      </c>
      <c r="M15" s="286" t="s">
        <v>718</v>
      </c>
      <c r="N15" s="286" t="s">
        <v>718</v>
      </c>
      <c r="O15" s="286" t="s">
        <v>718</v>
      </c>
      <c r="P15" s="286" t="s">
        <v>718</v>
      </c>
      <c r="Q15" s="286" t="s">
        <v>718</v>
      </c>
      <c r="R15" s="286"/>
      <c r="S15" s="286"/>
      <c r="T15" s="286"/>
      <c r="U15" s="286" t="s">
        <v>718</v>
      </c>
      <c r="V15" s="286" t="s">
        <v>718</v>
      </c>
      <c r="W15" s="286" t="s">
        <v>718</v>
      </c>
      <c r="X15" s="286" t="s">
        <v>718</v>
      </c>
      <c r="Y15" s="286"/>
      <c r="Z15" s="286" t="s">
        <v>756</v>
      </c>
      <c r="AA15" s="284">
        <v>20250610</v>
      </c>
    </row>
  </sheetData>
  <mergeCells count="5">
    <mergeCell ref="G2:G11"/>
    <mergeCell ref="G12:G15"/>
    <mergeCell ref="R2:R11"/>
    <mergeCell ref="S2:S11"/>
    <mergeCell ref="T2:T11"/>
  </mergeCells>
  <conditionalFormatting sqref="I1:Q1 U1:X1">
    <cfRule type="expression" dxfId="54" priority="4">
      <formula>I1&lt;&gt;#REF!</formula>
    </cfRule>
  </conditionalFormatting>
  <conditionalFormatting sqref="R1:T1">
    <cfRule type="cellIs" dxfId="53" priority="1" operator="equal">
      <formula>"fail"</formula>
    </cfRule>
    <cfRule type="cellIs" dxfId="52" priority="2" operator="equal">
      <formula>"pass"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8E07EF72-1AFF-489C-BF2A-C43EA6E23819}">
            <xm:f>R1&lt;&gt;测试用例!#REF!</xm:f>
            <x14:dxf>
              <fill>
                <patternFill>
                  <bgColor rgb="FF92D050"/>
                </patternFill>
              </fill>
            </x14:dxf>
          </x14:cfRule>
          <xm:sqref>R1:T1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9E1C3-BEE6-48CB-856A-E14D28E58061}">
  <dimension ref="A1:R17"/>
  <sheetViews>
    <sheetView showGridLines="0" topLeftCell="H9" workbookViewId="0">
      <selection activeCell="L26" sqref="L26"/>
    </sheetView>
  </sheetViews>
  <sheetFormatPr defaultRowHeight="12"/>
  <cols>
    <col min="1" max="1" width="10.5" style="283" customWidth="1"/>
    <col min="2" max="2" width="9" style="283"/>
    <col min="3" max="3" width="17.25" style="283" customWidth="1"/>
    <col min="4" max="4" width="69.875" style="283" customWidth="1"/>
    <col min="5" max="5" width="28.375" style="309" customWidth="1"/>
    <col min="6" max="6" width="9" style="283"/>
    <col min="7" max="7" width="44.875" style="283" customWidth="1"/>
    <col min="8" max="16" width="23.125" style="283" customWidth="1"/>
    <col min="17" max="16384" width="9" style="283"/>
  </cols>
  <sheetData>
    <row r="1" spans="1:18" ht="65.25" customHeight="1">
      <c r="A1" s="281" t="s">
        <v>1</v>
      </c>
      <c r="B1" s="281" t="s">
        <v>443</v>
      </c>
      <c r="C1" s="281" t="s">
        <v>444</v>
      </c>
      <c r="D1" s="281" t="s">
        <v>541</v>
      </c>
      <c r="E1" s="281" t="s">
        <v>542</v>
      </c>
      <c r="F1" s="281" t="s">
        <v>446</v>
      </c>
      <c r="G1" s="281" t="s">
        <v>11</v>
      </c>
      <c r="H1" s="282" t="s">
        <v>544</v>
      </c>
      <c r="I1" s="302" t="s">
        <v>45</v>
      </c>
      <c r="J1" s="302" t="s">
        <v>46</v>
      </c>
      <c r="K1" s="302" t="s">
        <v>47</v>
      </c>
      <c r="L1" s="282" t="s">
        <v>551</v>
      </c>
      <c r="M1" s="302" t="s">
        <v>45</v>
      </c>
      <c r="N1" s="302" t="s">
        <v>46</v>
      </c>
      <c r="O1" s="302" t="s">
        <v>47</v>
      </c>
      <c r="P1" s="281" t="s">
        <v>460</v>
      </c>
      <c r="Q1" s="281" t="s">
        <v>461</v>
      </c>
      <c r="R1" s="281" t="s">
        <v>462</v>
      </c>
    </row>
    <row r="2" spans="1:18" ht="56.25" customHeight="1">
      <c r="A2" s="285" t="s">
        <v>766</v>
      </c>
      <c r="B2" s="211" t="s">
        <v>68</v>
      </c>
      <c r="C2" s="286" t="s">
        <v>767</v>
      </c>
      <c r="D2" s="285" t="s">
        <v>768</v>
      </c>
      <c r="E2" s="365" t="s">
        <v>769</v>
      </c>
      <c r="F2" s="286" t="s">
        <v>108</v>
      </c>
      <c r="G2" s="288" t="s">
        <v>770</v>
      </c>
      <c r="H2" s="289" t="s">
        <v>204</v>
      </c>
      <c r="I2" s="365"/>
      <c r="J2" s="365"/>
      <c r="K2" s="365"/>
      <c r="L2" s="286" t="s">
        <v>718</v>
      </c>
      <c r="M2" s="365" t="s">
        <v>771</v>
      </c>
      <c r="N2" s="365"/>
      <c r="O2" s="365"/>
      <c r="P2" s="286"/>
      <c r="Q2" s="286" t="s">
        <v>170</v>
      </c>
      <c r="R2" s="284">
        <v>20250530</v>
      </c>
    </row>
    <row r="3" spans="1:18" ht="56.25" customHeight="1">
      <c r="A3" s="285" t="s">
        <v>772</v>
      </c>
      <c r="B3" s="211" t="s">
        <v>68</v>
      </c>
      <c r="C3" s="286" t="s">
        <v>773</v>
      </c>
      <c r="D3" s="285" t="s">
        <v>774</v>
      </c>
      <c r="E3" s="365"/>
      <c r="F3" s="286" t="s">
        <v>108</v>
      </c>
      <c r="G3" s="288" t="s">
        <v>770</v>
      </c>
      <c r="H3" s="289" t="s">
        <v>204</v>
      </c>
      <c r="I3" s="365"/>
      <c r="J3" s="365"/>
      <c r="K3" s="365"/>
      <c r="L3" s="286" t="s">
        <v>718</v>
      </c>
      <c r="M3" s="365"/>
      <c r="N3" s="365"/>
      <c r="O3" s="365"/>
      <c r="P3" s="286"/>
      <c r="Q3" s="286" t="s">
        <v>593</v>
      </c>
      <c r="R3" s="284">
        <v>20250530</v>
      </c>
    </row>
    <row r="4" spans="1:18" ht="56.25" customHeight="1">
      <c r="A4" s="285" t="s">
        <v>775</v>
      </c>
      <c r="B4" s="211" t="s">
        <v>68</v>
      </c>
      <c r="C4" s="286" t="s">
        <v>776</v>
      </c>
      <c r="D4" s="285" t="s">
        <v>777</v>
      </c>
      <c r="E4" s="365"/>
      <c r="F4" s="286" t="s">
        <v>108</v>
      </c>
      <c r="G4" s="288" t="s">
        <v>770</v>
      </c>
      <c r="H4" s="289" t="s">
        <v>204</v>
      </c>
      <c r="I4" s="365"/>
      <c r="J4" s="365"/>
      <c r="K4" s="365"/>
      <c r="L4" s="286" t="s">
        <v>718</v>
      </c>
      <c r="M4" s="365"/>
      <c r="N4" s="365"/>
      <c r="O4" s="365"/>
      <c r="P4" s="286"/>
      <c r="Q4" s="286" t="s">
        <v>170</v>
      </c>
      <c r="R4" s="284">
        <v>20250530</v>
      </c>
    </row>
    <row r="5" spans="1:18" ht="56.25" customHeight="1">
      <c r="A5" s="285" t="s">
        <v>778</v>
      </c>
      <c r="B5" s="292" t="s">
        <v>68</v>
      </c>
      <c r="C5" s="311" t="s">
        <v>779</v>
      </c>
      <c r="D5" s="312" t="s">
        <v>780</v>
      </c>
      <c r="E5" s="365" t="s">
        <v>781</v>
      </c>
      <c r="F5" s="313" t="s">
        <v>108</v>
      </c>
      <c r="G5" s="288" t="s">
        <v>782</v>
      </c>
      <c r="H5" s="289" t="s">
        <v>204</v>
      </c>
      <c r="I5" s="365"/>
      <c r="J5" s="365"/>
      <c r="K5" s="365"/>
      <c r="L5" s="286" t="s">
        <v>718</v>
      </c>
      <c r="M5" s="365" t="s">
        <v>13</v>
      </c>
      <c r="N5" s="365"/>
      <c r="O5" s="366" t="s">
        <v>719</v>
      </c>
      <c r="P5" s="286"/>
      <c r="Q5" s="286" t="s">
        <v>170</v>
      </c>
      <c r="R5" s="284">
        <v>20250530</v>
      </c>
    </row>
    <row r="6" spans="1:18" ht="56.25" customHeight="1">
      <c r="A6" s="285" t="s">
        <v>783</v>
      </c>
      <c r="B6" s="211" t="s">
        <v>68</v>
      </c>
      <c r="C6" s="286" t="s">
        <v>784</v>
      </c>
      <c r="D6" s="312" t="s">
        <v>785</v>
      </c>
      <c r="E6" s="365"/>
      <c r="F6" s="313" t="s">
        <v>108</v>
      </c>
      <c r="G6" s="288" t="s">
        <v>782</v>
      </c>
      <c r="H6" s="289" t="s">
        <v>204</v>
      </c>
      <c r="I6" s="365"/>
      <c r="J6" s="365"/>
      <c r="K6" s="365"/>
      <c r="L6" s="286" t="s">
        <v>718</v>
      </c>
      <c r="M6" s="365"/>
      <c r="N6" s="365"/>
      <c r="O6" s="365"/>
      <c r="P6" s="286"/>
      <c r="Q6" s="286" t="s">
        <v>170</v>
      </c>
      <c r="R6" s="284">
        <v>20250530</v>
      </c>
    </row>
    <row r="7" spans="1:18" ht="56.25" customHeight="1">
      <c r="A7" s="285" t="s">
        <v>786</v>
      </c>
      <c r="B7" s="211" t="s">
        <v>68</v>
      </c>
      <c r="C7" s="286" t="s">
        <v>787</v>
      </c>
      <c r="D7" s="312" t="s">
        <v>788</v>
      </c>
      <c r="E7" s="365"/>
      <c r="F7" s="313" t="s">
        <v>108</v>
      </c>
      <c r="G7" s="288" t="s">
        <v>782</v>
      </c>
      <c r="H7" s="289" t="s">
        <v>204</v>
      </c>
      <c r="I7" s="365"/>
      <c r="J7" s="365"/>
      <c r="K7" s="365"/>
      <c r="L7" s="300" t="s">
        <v>718</v>
      </c>
      <c r="M7" s="365"/>
      <c r="N7" s="365"/>
      <c r="O7" s="365"/>
      <c r="P7" s="286"/>
      <c r="Q7" s="286" t="s">
        <v>593</v>
      </c>
      <c r="R7" s="284">
        <v>20250530</v>
      </c>
    </row>
    <row r="8" spans="1:18" ht="56.25" customHeight="1">
      <c r="A8" s="285" t="s">
        <v>157</v>
      </c>
      <c r="B8" s="211" t="s">
        <v>56</v>
      </c>
      <c r="C8" s="286" t="s">
        <v>158</v>
      </c>
      <c r="D8" s="285" t="s">
        <v>159</v>
      </c>
      <c r="E8" s="359" t="s">
        <v>781</v>
      </c>
      <c r="F8" s="286" t="s">
        <v>789</v>
      </c>
      <c r="G8" s="194" t="s">
        <v>790</v>
      </c>
      <c r="H8" s="314" t="s">
        <v>791</v>
      </c>
      <c r="I8" s="315"/>
      <c r="J8" s="362" t="s">
        <v>13</v>
      </c>
      <c r="K8" s="315"/>
      <c r="L8" s="287" t="s">
        <v>718</v>
      </c>
      <c r="M8" s="287"/>
      <c r="N8" s="287"/>
      <c r="O8" s="287"/>
      <c r="P8" s="287" t="s">
        <v>792</v>
      </c>
      <c r="Q8" s="286" t="s">
        <v>170</v>
      </c>
      <c r="R8" s="284">
        <v>20250530</v>
      </c>
    </row>
    <row r="9" spans="1:18" ht="56.25" customHeight="1">
      <c r="A9" s="285" t="s">
        <v>183</v>
      </c>
      <c r="B9" s="292" t="s">
        <v>56</v>
      </c>
      <c r="C9" s="294" t="s">
        <v>184</v>
      </c>
      <c r="D9" s="285" t="s">
        <v>185</v>
      </c>
      <c r="E9" s="360"/>
      <c r="F9" s="286" t="s">
        <v>160</v>
      </c>
      <c r="G9" s="194" t="s">
        <v>793</v>
      </c>
      <c r="H9" s="314" t="s">
        <v>791</v>
      </c>
      <c r="I9" s="315"/>
      <c r="J9" s="363"/>
      <c r="K9" s="315"/>
      <c r="L9" s="316" t="s">
        <v>204</v>
      </c>
      <c r="M9" s="316"/>
      <c r="N9" s="316"/>
      <c r="O9" s="316"/>
      <c r="P9" s="287" t="s">
        <v>792</v>
      </c>
      <c r="Q9" s="286" t="s">
        <v>170</v>
      </c>
      <c r="R9" s="284">
        <v>20250530</v>
      </c>
    </row>
    <row r="10" spans="1:18" ht="56.25" customHeight="1">
      <c r="A10" s="285" t="s">
        <v>378</v>
      </c>
      <c r="B10" s="292" t="s">
        <v>56</v>
      </c>
      <c r="C10" s="294" t="s">
        <v>379</v>
      </c>
      <c r="D10" s="285" t="s">
        <v>380</v>
      </c>
      <c r="E10" s="361"/>
      <c r="F10" s="286" t="s">
        <v>160</v>
      </c>
      <c r="G10" s="194" t="s">
        <v>794</v>
      </c>
      <c r="H10" s="314" t="s">
        <v>791</v>
      </c>
      <c r="I10" s="315"/>
      <c r="J10" s="364"/>
      <c r="K10" s="315" t="s">
        <v>719</v>
      </c>
      <c r="L10" s="316" t="s">
        <v>204</v>
      </c>
      <c r="M10" s="316"/>
      <c r="N10" s="316"/>
      <c r="O10" s="316"/>
      <c r="P10" s="287" t="s">
        <v>792</v>
      </c>
      <c r="Q10" s="286" t="s">
        <v>170</v>
      </c>
      <c r="R10" s="284">
        <v>20250530</v>
      </c>
    </row>
    <row r="11" spans="1:18" ht="56.25" hidden="1" customHeight="1">
      <c r="A11" s="285" t="s">
        <v>326</v>
      </c>
      <c r="B11" s="211" t="s">
        <v>105</v>
      </c>
      <c r="C11" s="286" t="s">
        <v>327</v>
      </c>
      <c r="D11" s="285" t="s">
        <v>328</v>
      </c>
      <c r="E11" s="317" t="s">
        <v>795</v>
      </c>
      <c r="F11" s="286" t="s">
        <v>160</v>
      </c>
      <c r="G11" s="194" t="s">
        <v>329</v>
      </c>
      <c r="H11" s="314" t="s">
        <v>791</v>
      </c>
      <c r="I11" s="315"/>
      <c r="J11" s="315"/>
      <c r="K11" s="315"/>
      <c r="L11" s="316" t="s">
        <v>204</v>
      </c>
      <c r="M11" s="316"/>
      <c r="N11" s="316"/>
      <c r="O11" s="316"/>
      <c r="P11" s="287" t="s">
        <v>792</v>
      </c>
      <c r="Q11" s="286" t="s">
        <v>170</v>
      </c>
      <c r="R11" s="284">
        <v>20250530</v>
      </c>
    </row>
    <row r="12" spans="1:18" ht="56.25" hidden="1" customHeight="1">
      <c r="A12" s="285" t="s">
        <v>796</v>
      </c>
      <c r="B12" s="211" t="s">
        <v>712</v>
      </c>
      <c r="C12" s="286" t="s">
        <v>713</v>
      </c>
      <c r="D12" s="285" t="s">
        <v>714</v>
      </c>
      <c r="E12" s="292" t="s">
        <v>797</v>
      </c>
      <c r="F12" s="286" t="s">
        <v>715</v>
      </c>
      <c r="G12" s="288" t="s">
        <v>717</v>
      </c>
      <c r="H12" s="204" t="s">
        <v>204</v>
      </c>
      <c r="I12" s="211"/>
      <c r="J12" s="211"/>
      <c r="K12" s="211"/>
      <c r="L12" s="286" t="s">
        <v>718</v>
      </c>
      <c r="M12" s="286"/>
      <c r="N12" s="286"/>
      <c r="O12" s="286"/>
      <c r="P12" s="286"/>
      <c r="Q12" s="287" t="s">
        <v>798</v>
      </c>
      <c r="R12" s="284">
        <v>20250530</v>
      </c>
    </row>
    <row r="13" spans="1:18" ht="56.25" hidden="1" customHeight="1">
      <c r="A13" s="308" t="s">
        <v>721</v>
      </c>
      <c r="B13" s="292" t="s">
        <v>68</v>
      </c>
      <c r="C13" s="287" t="s">
        <v>722</v>
      </c>
      <c r="D13" s="300" t="s">
        <v>723</v>
      </c>
      <c r="E13" s="292" t="s">
        <v>797</v>
      </c>
      <c r="F13" s="286" t="s">
        <v>724</v>
      </c>
      <c r="G13" s="288" t="s">
        <v>717</v>
      </c>
      <c r="H13" s="204" t="s">
        <v>204</v>
      </c>
      <c r="I13" s="211"/>
      <c r="J13" s="211"/>
      <c r="K13" s="211"/>
      <c r="L13" s="286" t="s">
        <v>718</v>
      </c>
      <c r="M13" s="286"/>
      <c r="N13" s="286"/>
      <c r="O13" s="286"/>
      <c r="P13" s="286"/>
      <c r="Q13" s="287" t="s">
        <v>798</v>
      </c>
      <c r="R13" s="284">
        <v>20250530</v>
      </c>
    </row>
    <row r="14" spans="1:18" ht="56.25" hidden="1" customHeight="1">
      <c r="A14" s="308" t="s">
        <v>725</v>
      </c>
      <c r="B14" s="292" t="s">
        <v>68</v>
      </c>
      <c r="C14" s="287" t="s">
        <v>726</v>
      </c>
      <c r="D14" s="300" t="s">
        <v>727</v>
      </c>
      <c r="E14" s="292" t="s">
        <v>797</v>
      </c>
      <c r="F14" s="286" t="s">
        <v>724</v>
      </c>
      <c r="G14" s="288" t="s">
        <v>717</v>
      </c>
      <c r="H14" s="204" t="s">
        <v>204</v>
      </c>
      <c r="I14" s="211"/>
      <c r="J14" s="211"/>
      <c r="K14" s="211"/>
      <c r="L14" s="286" t="s">
        <v>718</v>
      </c>
      <c r="M14" s="286"/>
      <c r="N14" s="286"/>
      <c r="O14" s="286"/>
      <c r="P14" s="286"/>
      <c r="Q14" s="287" t="s">
        <v>798</v>
      </c>
      <c r="R14" s="284">
        <v>20250530</v>
      </c>
    </row>
    <row r="15" spans="1:18" ht="56.25" hidden="1" customHeight="1">
      <c r="A15" s="308" t="s">
        <v>728</v>
      </c>
      <c r="B15" s="292" t="s">
        <v>68</v>
      </c>
      <c r="C15" s="287" t="s">
        <v>729</v>
      </c>
      <c r="D15" s="300" t="s">
        <v>730</v>
      </c>
      <c r="E15" s="292" t="s">
        <v>797</v>
      </c>
      <c r="F15" s="286" t="s">
        <v>724</v>
      </c>
      <c r="G15" s="288" t="s">
        <v>717</v>
      </c>
      <c r="H15" s="204" t="s">
        <v>204</v>
      </c>
      <c r="I15" s="211"/>
      <c r="J15" s="211"/>
      <c r="K15" s="211"/>
      <c r="L15" s="286" t="s">
        <v>718</v>
      </c>
      <c r="M15" s="286"/>
      <c r="N15" s="286"/>
      <c r="O15" s="286"/>
      <c r="P15" s="286"/>
      <c r="Q15" s="287" t="s">
        <v>798</v>
      </c>
      <c r="R15" s="284">
        <v>20250530</v>
      </c>
    </row>
    <row r="16" spans="1:18" ht="56.25" hidden="1" customHeight="1">
      <c r="A16" s="308" t="s">
        <v>731</v>
      </c>
      <c r="B16" s="292" t="s">
        <v>68</v>
      </c>
      <c r="C16" s="287" t="s">
        <v>732</v>
      </c>
      <c r="D16" s="300" t="s">
        <v>733</v>
      </c>
      <c r="E16" s="292" t="s">
        <v>797</v>
      </c>
      <c r="F16" s="286" t="s">
        <v>724</v>
      </c>
      <c r="G16" s="288" t="s">
        <v>717</v>
      </c>
      <c r="H16" s="204" t="s">
        <v>204</v>
      </c>
      <c r="I16" s="211"/>
      <c r="J16" s="211"/>
      <c r="K16" s="211"/>
      <c r="L16" s="286" t="s">
        <v>718</v>
      </c>
      <c r="M16" s="286"/>
      <c r="N16" s="286"/>
      <c r="O16" s="286"/>
      <c r="P16" s="286"/>
      <c r="Q16" s="287" t="s">
        <v>798</v>
      </c>
      <c r="R16" s="284">
        <v>20250530</v>
      </c>
    </row>
    <row r="17" spans="1:18" ht="56.25" hidden="1" customHeight="1">
      <c r="A17" s="300" t="s">
        <v>357</v>
      </c>
      <c r="B17" s="211" t="s">
        <v>568</v>
      </c>
      <c r="C17" s="286" t="s">
        <v>799</v>
      </c>
      <c r="D17" s="300" t="s">
        <v>800</v>
      </c>
      <c r="E17" s="317" t="s">
        <v>801</v>
      </c>
      <c r="F17" s="286" t="s">
        <v>160</v>
      </c>
      <c r="G17" s="194" t="s">
        <v>794</v>
      </c>
      <c r="H17" s="314" t="s">
        <v>802</v>
      </c>
      <c r="I17" s="315"/>
      <c r="J17" s="315"/>
      <c r="K17" s="315"/>
      <c r="L17" s="316" t="s">
        <v>204</v>
      </c>
      <c r="M17" s="316"/>
      <c r="N17" s="316"/>
      <c r="O17" s="316"/>
      <c r="P17" s="287" t="s">
        <v>792</v>
      </c>
      <c r="Q17" s="286" t="s">
        <v>571</v>
      </c>
      <c r="R17" s="284">
        <v>20250530</v>
      </c>
    </row>
  </sheetData>
  <mergeCells count="16">
    <mergeCell ref="E8:E10"/>
    <mergeCell ref="J8:J10"/>
    <mergeCell ref="M2:M4"/>
    <mergeCell ref="N2:N4"/>
    <mergeCell ref="O2:O4"/>
    <mergeCell ref="M5:M7"/>
    <mergeCell ref="N5:N7"/>
    <mergeCell ref="O5:O7"/>
    <mergeCell ref="E2:E4"/>
    <mergeCell ref="E5:E7"/>
    <mergeCell ref="I2:I4"/>
    <mergeCell ref="J2:J4"/>
    <mergeCell ref="K2:K4"/>
    <mergeCell ref="I5:I7"/>
    <mergeCell ref="J5:J7"/>
    <mergeCell ref="K5:K7"/>
  </mergeCells>
  <conditionalFormatting sqref="H1 L1">
    <cfRule type="expression" dxfId="50" priority="7">
      <formula>H1&lt;&gt;#REF!</formula>
    </cfRule>
  </conditionalFormatting>
  <conditionalFormatting sqref="I1:K1">
    <cfRule type="cellIs" dxfId="49" priority="4" operator="equal">
      <formula>"fail"</formula>
    </cfRule>
    <cfRule type="cellIs" dxfId="48" priority="5" operator="equal">
      <formula>"pass"</formula>
    </cfRule>
  </conditionalFormatting>
  <conditionalFormatting sqref="M1:O1">
    <cfRule type="cellIs" dxfId="47" priority="1" operator="equal">
      <formula>"fail"</formula>
    </cfRule>
    <cfRule type="cellIs" dxfId="46" priority="2" operator="equal">
      <formula>"pass"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733F4468-4DF3-4945-B922-5B8BB9AEC7FC}">
            <xm:f>I1&lt;&gt;测试用例!#REF!</xm:f>
            <x14:dxf>
              <fill>
                <patternFill>
                  <bgColor rgb="FF92D050"/>
                </patternFill>
              </fill>
            </x14:dxf>
          </x14:cfRule>
          <xm:sqref>I1:K1</xm:sqref>
        </x14:conditionalFormatting>
        <x14:conditionalFormatting xmlns:xm="http://schemas.microsoft.com/office/excel/2006/main">
          <x14:cfRule type="expression" priority="3" id="{369708F1-C896-41A9-B604-359F87D4F446}">
            <xm:f>M1&lt;&gt;测试用例!#REF!</xm:f>
            <x14:dxf>
              <fill>
                <patternFill>
                  <bgColor rgb="FF92D050"/>
                </patternFill>
              </fill>
            </x14:dxf>
          </x14:cfRule>
          <xm:sqref>M1:O1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7C109-8DDA-4D24-A074-70D9CE860A44}">
  <dimension ref="A1:AG4"/>
  <sheetViews>
    <sheetView showGridLines="0" workbookViewId="0">
      <selection activeCell="G25" sqref="G25"/>
    </sheetView>
  </sheetViews>
  <sheetFormatPr defaultRowHeight="14.25"/>
  <cols>
    <col min="1" max="1" width="9" style="260"/>
    <col min="2" max="2" width="13.25" style="260" customWidth="1"/>
    <col min="3" max="4" width="0" style="260" hidden="1" customWidth="1"/>
    <col min="5" max="5" width="44.875" style="260" customWidth="1"/>
    <col min="6" max="6" width="9" style="260"/>
    <col min="7" max="7" width="14.875" style="260" customWidth="1"/>
    <col min="8" max="8" width="37.25" style="260" customWidth="1"/>
    <col min="9" max="9" width="17.75" style="260" hidden="1" customWidth="1"/>
    <col min="10" max="13" width="17.75" style="260" customWidth="1"/>
    <col min="14" max="22" width="17.75" style="260" hidden="1" customWidth="1"/>
    <col min="23" max="26" width="17.75" style="260" customWidth="1"/>
    <col min="27" max="30" width="17.75" style="260" hidden="1" customWidth="1"/>
    <col min="31" max="33" width="17.75" style="260" customWidth="1"/>
    <col min="34" max="16384" width="9" style="260"/>
  </cols>
  <sheetData>
    <row r="1" spans="1:33" ht="77.25" customHeight="1">
      <c r="A1" s="258" t="s">
        <v>442</v>
      </c>
      <c r="B1" s="258" t="s">
        <v>1</v>
      </c>
      <c r="C1" s="258" t="s">
        <v>443</v>
      </c>
      <c r="D1" s="258" t="s">
        <v>444</v>
      </c>
      <c r="E1" s="258" t="s">
        <v>541</v>
      </c>
      <c r="F1" s="258" t="s">
        <v>446</v>
      </c>
      <c r="G1" s="258" t="s">
        <v>542</v>
      </c>
      <c r="H1" s="258" t="s">
        <v>11</v>
      </c>
      <c r="I1" s="259" t="s">
        <v>543</v>
      </c>
      <c r="J1" s="259" t="s">
        <v>544</v>
      </c>
      <c r="K1" s="209" t="s">
        <v>45</v>
      </c>
      <c r="L1" s="209" t="s">
        <v>46</v>
      </c>
      <c r="M1" s="209" t="s">
        <v>47</v>
      </c>
      <c r="N1" s="259" t="s">
        <v>545</v>
      </c>
      <c r="O1" s="259" t="s">
        <v>546</v>
      </c>
      <c r="P1" s="259" t="s">
        <v>547</v>
      </c>
      <c r="Q1" s="259" t="s">
        <v>548</v>
      </c>
      <c r="R1" s="259" t="s">
        <v>549</v>
      </c>
      <c r="S1" s="209" t="s">
        <v>45</v>
      </c>
      <c r="T1" s="209" t="s">
        <v>46</v>
      </c>
      <c r="U1" s="209" t="s">
        <v>47</v>
      </c>
      <c r="V1" s="259" t="s">
        <v>550</v>
      </c>
      <c r="W1" s="259" t="s">
        <v>551</v>
      </c>
      <c r="X1" s="209" t="s">
        <v>45</v>
      </c>
      <c r="Y1" s="209" t="s">
        <v>46</v>
      </c>
      <c r="Z1" s="209" t="s">
        <v>47</v>
      </c>
      <c r="AA1" s="259" t="s">
        <v>552</v>
      </c>
      <c r="AB1" s="259" t="s">
        <v>803</v>
      </c>
      <c r="AC1" s="259" t="s">
        <v>553</v>
      </c>
      <c r="AD1" s="259" t="s">
        <v>554</v>
      </c>
      <c r="AE1" s="258" t="s">
        <v>460</v>
      </c>
      <c r="AF1" s="258" t="s">
        <v>461</v>
      </c>
      <c r="AG1" s="258" t="s">
        <v>462</v>
      </c>
    </row>
    <row r="2" spans="1:33" ht="151.5" hidden="1" customHeight="1">
      <c r="A2" s="261" t="s">
        <v>360</v>
      </c>
      <c r="B2" s="262" t="s">
        <v>804</v>
      </c>
      <c r="C2" s="263" t="s">
        <v>56</v>
      </c>
      <c r="D2" s="264"/>
      <c r="E2" s="262" t="s">
        <v>805</v>
      </c>
      <c r="F2" s="265" t="s">
        <v>806</v>
      </c>
      <c r="G2" s="279" t="s">
        <v>807</v>
      </c>
      <c r="H2" s="276" t="s">
        <v>808</v>
      </c>
      <c r="I2" s="266" t="s">
        <v>466</v>
      </c>
      <c r="J2" s="266" t="s">
        <v>467</v>
      </c>
      <c r="K2" s="278"/>
      <c r="L2" s="278"/>
      <c r="M2" s="266"/>
      <c r="N2" s="266" t="s">
        <v>468</v>
      </c>
      <c r="O2" s="266" t="s">
        <v>718</v>
      </c>
      <c r="P2" s="266" t="s">
        <v>470</v>
      </c>
      <c r="Q2" s="267" t="s">
        <v>471</v>
      </c>
      <c r="R2" s="267" t="s">
        <v>471</v>
      </c>
      <c r="S2" s="278"/>
      <c r="T2" s="278"/>
      <c r="U2" s="266"/>
      <c r="V2" s="266" t="s">
        <v>718</v>
      </c>
      <c r="W2" s="266" t="s">
        <v>718</v>
      </c>
      <c r="X2" s="278"/>
      <c r="Y2" s="278"/>
      <c r="Z2" s="266"/>
      <c r="AA2" s="267" t="s">
        <v>472</v>
      </c>
      <c r="AB2" s="268" t="s">
        <v>204</v>
      </c>
      <c r="AC2" s="268" t="s">
        <v>204</v>
      </c>
      <c r="AD2" s="266" t="s">
        <v>718</v>
      </c>
      <c r="AE2" s="269" t="s">
        <v>809</v>
      </c>
      <c r="AF2" s="270" t="s">
        <v>593</v>
      </c>
      <c r="AG2" s="271">
        <v>20250522</v>
      </c>
    </row>
    <row r="3" spans="1:33" ht="102.75" customHeight="1">
      <c r="A3" s="261" t="s">
        <v>360</v>
      </c>
      <c r="B3" s="262" t="s">
        <v>810</v>
      </c>
      <c r="C3" s="263" t="s">
        <v>56</v>
      </c>
      <c r="D3" s="264"/>
      <c r="E3" s="262" t="s">
        <v>811</v>
      </c>
      <c r="F3" s="265" t="s">
        <v>806</v>
      </c>
      <c r="G3" s="265"/>
      <c r="H3" s="276" t="s">
        <v>812</v>
      </c>
      <c r="I3" s="266" t="s">
        <v>466</v>
      </c>
      <c r="J3" s="325" t="s">
        <v>813</v>
      </c>
      <c r="K3" s="278" t="s">
        <v>13</v>
      </c>
      <c r="L3" s="278"/>
      <c r="M3" s="266" t="s">
        <v>719</v>
      </c>
      <c r="N3" s="266" t="s">
        <v>468</v>
      </c>
      <c r="O3" s="266" t="s">
        <v>718</v>
      </c>
      <c r="P3" s="266" t="s">
        <v>470</v>
      </c>
      <c r="Q3" s="267" t="s">
        <v>471</v>
      </c>
      <c r="R3" s="267" t="s">
        <v>471</v>
      </c>
      <c r="S3" s="278"/>
      <c r="T3" s="278"/>
      <c r="U3" s="266"/>
      <c r="V3" s="266" t="s">
        <v>718</v>
      </c>
      <c r="W3" s="266" t="s">
        <v>718</v>
      </c>
      <c r="X3" s="278" t="s">
        <v>13</v>
      </c>
      <c r="Y3" s="278"/>
      <c r="Z3" s="266" t="s">
        <v>719</v>
      </c>
      <c r="AA3" s="267" t="s">
        <v>472</v>
      </c>
      <c r="AB3" s="268" t="s">
        <v>204</v>
      </c>
      <c r="AC3" s="268" t="s">
        <v>204</v>
      </c>
      <c r="AD3" s="266" t="s">
        <v>718</v>
      </c>
      <c r="AE3" s="269" t="s">
        <v>809</v>
      </c>
      <c r="AF3" s="270" t="s">
        <v>593</v>
      </c>
      <c r="AG3" s="271">
        <v>20250522</v>
      </c>
    </row>
    <row r="4" spans="1:33" ht="60" hidden="1" customHeight="1">
      <c r="A4" s="272" t="s">
        <v>750</v>
      </c>
      <c r="B4" s="273" t="s">
        <v>814</v>
      </c>
      <c r="C4" s="274" t="s">
        <v>712</v>
      </c>
      <c r="D4" s="275" t="s">
        <v>815</v>
      </c>
      <c r="E4" s="273" t="s">
        <v>816</v>
      </c>
      <c r="F4" s="273" t="s">
        <v>817</v>
      </c>
      <c r="G4" s="279" t="s">
        <v>818</v>
      </c>
      <c r="H4" s="277" t="s">
        <v>819</v>
      </c>
      <c r="I4" s="273" t="s">
        <v>718</v>
      </c>
      <c r="J4" s="273" t="s">
        <v>718</v>
      </c>
      <c r="K4" s="273"/>
      <c r="L4" s="273"/>
      <c r="M4" s="273"/>
      <c r="N4" s="273" t="s">
        <v>718</v>
      </c>
      <c r="O4" s="273" t="s">
        <v>718</v>
      </c>
      <c r="P4" s="273" t="s">
        <v>718</v>
      </c>
      <c r="Q4" s="273" t="s">
        <v>718</v>
      </c>
      <c r="R4" s="273" t="s">
        <v>718</v>
      </c>
      <c r="S4" s="273"/>
      <c r="T4" s="273"/>
      <c r="U4" s="273"/>
      <c r="V4" s="273" t="s">
        <v>718</v>
      </c>
      <c r="W4" s="273" t="s">
        <v>718</v>
      </c>
      <c r="X4" s="273"/>
      <c r="Y4" s="273"/>
      <c r="Z4" s="273"/>
      <c r="AA4" s="273" t="s">
        <v>718</v>
      </c>
      <c r="AB4" s="273" t="s">
        <v>718</v>
      </c>
      <c r="AC4" s="273" t="s">
        <v>718</v>
      </c>
      <c r="AD4" s="273" t="s">
        <v>718</v>
      </c>
      <c r="AE4" s="273"/>
      <c r="AF4" s="273" t="s">
        <v>571</v>
      </c>
      <c r="AG4" s="272">
        <v>20250522</v>
      </c>
    </row>
  </sheetData>
  <conditionalFormatting sqref="I1:J1 N1:R1 AA1:AD1 V1:W1">
    <cfRule type="expression" dxfId="43" priority="10">
      <formula>I1&lt;&gt;#REF!</formula>
    </cfRule>
  </conditionalFormatting>
  <conditionalFormatting sqref="K1:M1">
    <cfRule type="cellIs" dxfId="42" priority="7" operator="equal">
      <formula>"fail"</formula>
    </cfRule>
    <cfRule type="cellIs" dxfId="41" priority="8" operator="equal">
      <formula>"pass"</formula>
    </cfRule>
  </conditionalFormatting>
  <conditionalFormatting sqref="X1:Z1">
    <cfRule type="cellIs" dxfId="40" priority="4" operator="equal">
      <formula>"fail"</formula>
    </cfRule>
    <cfRule type="cellIs" dxfId="39" priority="5" operator="equal">
      <formula>"pass"</formula>
    </cfRule>
  </conditionalFormatting>
  <conditionalFormatting sqref="S1:U1">
    <cfRule type="cellIs" dxfId="38" priority="1" operator="equal">
      <formula>"fail"</formula>
    </cfRule>
    <cfRule type="cellIs" dxfId="37" priority="2" operator="equal">
      <formula>"pass"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id="{E0B7CCCA-C639-413A-B73D-C5FFC1921FC4}">
            <xm:f>K1&lt;&gt;测试用例!#REF!</xm:f>
            <x14:dxf>
              <fill>
                <patternFill>
                  <bgColor rgb="FF92D050"/>
                </patternFill>
              </fill>
            </x14:dxf>
          </x14:cfRule>
          <xm:sqref>K1:M1</xm:sqref>
        </x14:conditionalFormatting>
        <x14:conditionalFormatting xmlns:xm="http://schemas.microsoft.com/office/excel/2006/main">
          <x14:cfRule type="expression" priority="6" id="{672C514A-31CA-4C2D-AB15-090CB0A83F86}">
            <xm:f>X1&lt;&gt;测试用例!#REF!</xm:f>
            <x14:dxf>
              <fill>
                <patternFill>
                  <bgColor rgb="FF92D050"/>
                </patternFill>
              </fill>
            </x14:dxf>
          </x14:cfRule>
          <xm:sqref>X1:Z1</xm:sqref>
        </x14:conditionalFormatting>
        <x14:conditionalFormatting xmlns:xm="http://schemas.microsoft.com/office/excel/2006/main">
          <x14:cfRule type="expression" priority="3" id="{DB8B60C1-8ADB-4DE9-BB9E-2C349DFC96CF}">
            <xm:f>S1&lt;&gt;测试用例!#REF!</xm:f>
            <x14:dxf>
              <fill>
                <patternFill>
                  <bgColor rgb="FF92D050"/>
                </patternFill>
              </fill>
            </x14:dxf>
          </x14:cfRule>
          <xm:sqref>S1:U1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A0B24-3E3C-443F-9643-E60266FE74D1}">
  <dimension ref="A1:BD6"/>
  <sheetViews>
    <sheetView workbookViewId="0">
      <selection activeCell="B4" sqref="B4"/>
    </sheetView>
  </sheetViews>
  <sheetFormatPr defaultRowHeight="15"/>
  <cols>
    <col min="1" max="1" width="9" style="186"/>
    <col min="2" max="2" width="17" style="186" customWidth="1"/>
    <col min="3" max="3" width="9" style="186"/>
    <col min="4" max="4" width="11.5" style="186" customWidth="1"/>
    <col min="5" max="5" width="44.375" style="186" customWidth="1"/>
    <col min="6" max="7" width="9" style="186"/>
    <col min="8" max="8" width="36" style="186" customWidth="1"/>
    <col min="9" max="9" width="20.375" style="186" customWidth="1"/>
    <col min="10" max="12" width="10.25" style="186" customWidth="1"/>
    <col min="13" max="13" width="20.375" style="186" customWidth="1"/>
    <col min="14" max="16" width="10.25" style="186" customWidth="1"/>
    <col min="17" max="17" width="20.375" style="186" customWidth="1"/>
    <col min="18" max="20" width="10.25" style="186" customWidth="1"/>
    <col min="21" max="21" width="20.375" style="186" customWidth="1"/>
    <col min="22" max="24" width="10.25" style="186" customWidth="1"/>
    <col min="25" max="25" width="20.375" style="186" customWidth="1"/>
    <col min="26" max="28" width="10.25" style="186" customWidth="1"/>
    <col min="29" max="29" width="20.375" style="186" customWidth="1"/>
    <col min="30" max="32" width="10.25" style="186" customWidth="1"/>
    <col min="33" max="33" width="20.375" style="186" customWidth="1"/>
    <col min="34" max="36" width="10.25" style="186" customWidth="1"/>
    <col min="37" max="37" width="20.375" style="186" customWidth="1"/>
    <col min="38" max="40" width="10.25" style="186" customWidth="1"/>
    <col min="41" max="41" width="20.375" style="186" customWidth="1"/>
    <col min="42" max="44" width="10.25" style="186" customWidth="1"/>
    <col min="45" max="45" width="20.375" style="186" customWidth="1"/>
    <col min="46" max="48" width="10.25" style="186" customWidth="1"/>
    <col min="49" max="50" width="20.375" style="186" customWidth="1"/>
    <col min="51" max="53" width="10.25" style="186" customWidth="1"/>
    <col min="54" max="56" width="20.375" style="186" customWidth="1"/>
    <col min="57" max="16384" width="9" style="186"/>
  </cols>
  <sheetData>
    <row r="1" spans="1:56" ht="124.5" customHeight="1">
      <c r="A1" s="184" t="s">
        <v>442</v>
      </c>
      <c r="B1" s="184" t="s">
        <v>1</v>
      </c>
      <c r="C1" s="184" t="s">
        <v>443</v>
      </c>
      <c r="D1" s="184" t="s">
        <v>444</v>
      </c>
      <c r="E1" s="184" t="s">
        <v>820</v>
      </c>
      <c r="F1" s="184" t="s">
        <v>446</v>
      </c>
      <c r="G1" s="184" t="s">
        <v>821</v>
      </c>
      <c r="H1" s="184" t="s">
        <v>11</v>
      </c>
      <c r="I1" s="185" t="s">
        <v>822</v>
      </c>
      <c r="J1" s="209" t="s">
        <v>45</v>
      </c>
      <c r="K1" s="209" t="s">
        <v>46</v>
      </c>
      <c r="L1" s="209" t="s">
        <v>47</v>
      </c>
      <c r="M1" s="185" t="s">
        <v>823</v>
      </c>
      <c r="N1" s="209" t="s">
        <v>45</v>
      </c>
      <c r="O1" s="209" t="s">
        <v>46</v>
      </c>
      <c r="P1" s="209" t="s">
        <v>47</v>
      </c>
      <c r="Q1" s="185" t="s">
        <v>824</v>
      </c>
      <c r="R1" s="209" t="s">
        <v>45</v>
      </c>
      <c r="S1" s="209" t="s">
        <v>46</v>
      </c>
      <c r="T1" s="209" t="s">
        <v>47</v>
      </c>
      <c r="U1" s="185" t="s">
        <v>825</v>
      </c>
      <c r="V1" s="209" t="s">
        <v>45</v>
      </c>
      <c r="W1" s="209" t="s">
        <v>46</v>
      </c>
      <c r="X1" s="209" t="s">
        <v>47</v>
      </c>
      <c r="Y1" s="185" t="s">
        <v>826</v>
      </c>
      <c r="Z1" s="209" t="s">
        <v>45</v>
      </c>
      <c r="AA1" s="209" t="s">
        <v>46</v>
      </c>
      <c r="AB1" s="209" t="s">
        <v>47</v>
      </c>
      <c r="AC1" s="185" t="s">
        <v>827</v>
      </c>
      <c r="AD1" s="209" t="s">
        <v>45</v>
      </c>
      <c r="AE1" s="209" t="s">
        <v>46</v>
      </c>
      <c r="AF1" s="209" t="s">
        <v>47</v>
      </c>
      <c r="AG1" s="185" t="s">
        <v>828</v>
      </c>
      <c r="AH1" s="209" t="s">
        <v>45</v>
      </c>
      <c r="AI1" s="209" t="s">
        <v>46</v>
      </c>
      <c r="AJ1" s="209" t="s">
        <v>47</v>
      </c>
      <c r="AK1" s="185" t="s">
        <v>829</v>
      </c>
      <c r="AL1" s="209" t="s">
        <v>45</v>
      </c>
      <c r="AM1" s="209" t="s">
        <v>46</v>
      </c>
      <c r="AN1" s="209" t="s">
        <v>47</v>
      </c>
      <c r="AO1" s="185" t="s">
        <v>27</v>
      </c>
      <c r="AP1" s="209" t="s">
        <v>45</v>
      </c>
      <c r="AQ1" s="209" t="s">
        <v>46</v>
      </c>
      <c r="AR1" s="209" t="s">
        <v>47</v>
      </c>
      <c r="AS1" s="185" t="s">
        <v>28</v>
      </c>
      <c r="AT1" s="209" t="s">
        <v>45</v>
      </c>
      <c r="AU1" s="209" t="s">
        <v>46</v>
      </c>
      <c r="AV1" s="209" t="s">
        <v>47</v>
      </c>
      <c r="AW1" s="185" t="s">
        <v>830</v>
      </c>
      <c r="AX1" s="185" t="s">
        <v>831</v>
      </c>
      <c r="AY1" s="209" t="s">
        <v>45</v>
      </c>
      <c r="AZ1" s="209" t="s">
        <v>46</v>
      </c>
      <c r="BA1" s="209" t="s">
        <v>47</v>
      </c>
      <c r="BB1" s="184" t="s">
        <v>460</v>
      </c>
      <c r="BC1" s="184" t="s">
        <v>461</v>
      </c>
      <c r="BD1" s="184" t="s">
        <v>462</v>
      </c>
    </row>
    <row r="2" spans="1:56" s="197" customFormat="1" ht="54.75" customHeight="1">
      <c r="A2" s="187" t="s">
        <v>66</v>
      </c>
      <c r="B2" s="188" t="s">
        <v>55</v>
      </c>
      <c r="C2" s="189" t="s">
        <v>56</v>
      </c>
      <c r="D2" s="190" t="s">
        <v>57</v>
      </c>
      <c r="E2" s="188" t="s">
        <v>832</v>
      </c>
      <c r="F2" s="190" t="s">
        <v>71</v>
      </c>
      <c r="G2" s="190" t="s">
        <v>833</v>
      </c>
      <c r="H2" s="191" t="s">
        <v>834</v>
      </c>
      <c r="I2" s="192" t="s">
        <v>835</v>
      </c>
      <c r="J2" s="212"/>
      <c r="K2" s="212"/>
      <c r="L2" s="212"/>
      <c r="M2" s="192" t="s">
        <v>835</v>
      </c>
      <c r="N2" s="212" t="s">
        <v>13</v>
      </c>
      <c r="O2" s="212" t="s">
        <v>13</v>
      </c>
      <c r="P2" s="212" t="s">
        <v>82</v>
      </c>
      <c r="Q2" s="193" t="s">
        <v>836</v>
      </c>
      <c r="R2" s="210"/>
      <c r="S2" s="210"/>
      <c r="T2" s="210"/>
      <c r="U2" s="194" t="s">
        <v>837</v>
      </c>
      <c r="V2" s="212"/>
      <c r="W2" s="212"/>
      <c r="X2" s="212"/>
      <c r="Y2" s="193" t="s">
        <v>838</v>
      </c>
      <c r="Z2" s="212"/>
      <c r="AA2" s="212"/>
      <c r="AB2" s="212"/>
      <c r="AC2" s="194" t="s">
        <v>63</v>
      </c>
      <c r="AD2" s="212" t="s">
        <v>13</v>
      </c>
      <c r="AE2" s="212" t="s">
        <v>13</v>
      </c>
      <c r="AF2" s="212" t="s">
        <v>82</v>
      </c>
      <c r="AG2" s="194" t="s">
        <v>837</v>
      </c>
      <c r="AH2" s="212"/>
      <c r="AI2" s="212"/>
      <c r="AJ2" s="212"/>
      <c r="AK2" s="194" t="s">
        <v>837</v>
      </c>
      <c r="AL2" s="212"/>
      <c r="AM2" s="212"/>
      <c r="AN2" s="212"/>
      <c r="AO2" s="193" t="s">
        <v>838</v>
      </c>
      <c r="AP2" s="212"/>
      <c r="AQ2" s="212"/>
      <c r="AR2" s="212"/>
      <c r="AS2" s="194" t="s">
        <v>63</v>
      </c>
      <c r="AT2" s="212" t="s">
        <v>13</v>
      </c>
      <c r="AU2" s="212" t="s">
        <v>13</v>
      </c>
      <c r="AV2" s="212" t="s">
        <v>82</v>
      </c>
      <c r="AW2" s="193" t="s">
        <v>838</v>
      </c>
      <c r="AX2" s="194" t="s">
        <v>63</v>
      </c>
      <c r="AY2" s="212" t="s">
        <v>13</v>
      </c>
      <c r="AZ2" s="212" t="s">
        <v>13</v>
      </c>
      <c r="BA2" s="212" t="s">
        <v>82</v>
      </c>
      <c r="BB2" s="195"/>
      <c r="BC2" s="195" t="s">
        <v>170</v>
      </c>
      <c r="BD2" s="196">
        <v>20250515</v>
      </c>
    </row>
    <row r="3" spans="1:56" s="197" customFormat="1" ht="96" customHeight="1">
      <c r="A3" s="187" t="s">
        <v>146</v>
      </c>
      <c r="B3" s="200" t="s">
        <v>296</v>
      </c>
      <c r="C3" s="189" t="s">
        <v>68</v>
      </c>
      <c r="D3" s="201" t="s">
        <v>297</v>
      </c>
      <c r="E3" s="200" t="s">
        <v>298</v>
      </c>
      <c r="F3" s="190" t="s">
        <v>87</v>
      </c>
      <c r="G3" s="190" t="s">
        <v>833</v>
      </c>
      <c r="H3" s="202" t="s">
        <v>839</v>
      </c>
      <c r="I3" s="203" t="s">
        <v>633</v>
      </c>
      <c r="J3" s="212"/>
      <c r="K3" s="212"/>
      <c r="L3" s="212"/>
      <c r="M3" s="203" t="s">
        <v>634</v>
      </c>
      <c r="N3" s="212" t="s">
        <v>13</v>
      </c>
      <c r="O3" s="212" t="s">
        <v>13</v>
      </c>
      <c r="P3" s="212" t="s">
        <v>93</v>
      </c>
      <c r="Q3" s="204" t="s">
        <v>204</v>
      </c>
      <c r="R3" s="211"/>
      <c r="S3" s="211"/>
      <c r="T3" s="211"/>
      <c r="U3" s="195" t="s">
        <v>204</v>
      </c>
      <c r="V3" s="212" t="s">
        <v>13</v>
      </c>
      <c r="W3" s="212" t="s">
        <v>13</v>
      </c>
      <c r="X3" s="212" t="s">
        <v>93</v>
      </c>
      <c r="Y3" s="203" t="s">
        <v>840</v>
      </c>
      <c r="Z3" s="213"/>
      <c r="AA3" s="213"/>
      <c r="AB3" s="213"/>
      <c r="AC3" s="203" t="s">
        <v>840</v>
      </c>
      <c r="AD3" s="212"/>
      <c r="AE3" s="212"/>
      <c r="AF3" s="212"/>
      <c r="AG3" s="195" t="s">
        <v>204</v>
      </c>
      <c r="AH3" s="212" t="s">
        <v>13</v>
      </c>
      <c r="AI3" s="212" t="s">
        <v>13</v>
      </c>
      <c r="AJ3" s="212" t="s">
        <v>93</v>
      </c>
      <c r="AK3" s="195" t="s">
        <v>204</v>
      </c>
      <c r="AL3" s="212" t="s">
        <v>13</v>
      </c>
      <c r="AM3" s="212" t="s">
        <v>13</v>
      </c>
      <c r="AN3" s="212" t="s">
        <v>93</v>
      </c>
      <c r="AO3" s="203" t="s">
        <v>639</v>
      </c>
      <c r="AP3" s="212" t="s">
        <v>13</v>
      </c>
      <c r="AQ3" s="212" t="s">
        <v>13</v>
      </c>
      <c r="AR3" s="212" t="s">
        <v>93</v>
      </c>
      <c r="AS3" s="205" t="s">
        <v>204</v>
      </c>
      <c r="AT3" s="212"/>
      <c r="AU3" s="212"/>
      <c r="AV3" s="213"/>
      <c r="AW3" s="204" t="s">
        <v>204</v>
      </c>
      <c r="AX3" s="195" t="s">
        <v>204</v>
      </c>
      <c r="AY3" s="212" t="s">
        <v>13</v>
      </c>
      <c r="AZ3" s="212" t="s">
        <v>13</v>
      </c>
      <c r="BA3" s="212" t="s">
        <v>93</v>
      </c>
      <c r="BB3" s="195"/>
      <c r="BC3" s="195" t="s">
        <v>170</v>
      </c>
      <c r="BD3" s="196">
        <v>20250515</v>
      </c>
    </row>
    <row r="4" spans="1:56" s="197" customFormat="1" ht="96" customHeight="1">
      <c r="A4" s="187" t="s">
        <v>841</v>
      </c>
      <c r="B4" s="206" t="s">
        <v>842</v>
      </c>
      <c r="C4" s="198" t="s">
        <v>843</v>
      </c>
      <c r="D4" s="199"/>
      <c r="E4" s="206" t="s">
        <v>434</v>
      </c>
      <c r="F4" s="190" t="s">
        <v>844</v>
      </c>
      <c r="G4" s="190" t="s">
        <v>833</v>
      </c>
      <c r="H4" s="207" t="s">
        <v>436</v>
      </c>
      <c r="I4" s="195" t="s">
        <v>845</v>
      </c>
      <c r="J4" s="212"/>
      <c r="K4" s="212"/>
      <c r="L4" s="212"/>
      <c r="M4" s="195" t="s">
        <v>845</v>
      </c>
      <c r="N4" s="212"/>
      <c r="O4" s="212"/>
      <c r="P4" s="212"/>
      <c r="Q4" s="194" t="s">
        <v>846</v>
      </c>
      <c r="R4" s="210" t="s">
        <v>13</v>
      </c>
      <c r="S4" s="210" t="s">
        <v>13</v>
      </c>
      <c r="T4" s="210" t="s">
        <v>93</v>
      </c>
      <c r="U4" s="195" t="s">
        <v>845</v>
      </c>
      <c r="V4" s="212"/>
      <c r="W4" s="212"/>
      <c r="X4" s="212"/>
      <c r="Y4" s="194" t="s">
        <v>440</v>
      </c>
      <c r="Z4" s="212"/>
      <c r="AA4" s="212"/>
      <c r="AB4" s="212"/>
      <c r="AC4" s="194" t="s">
        <v>847</v>
      </c>
      <c r="AD4" s="212" t="s">
        <v>13</v>
      </c>
      <c r="AE4" s="212" t="s">
        <v>13</v>
      </c>
      <c r="AF4" s="212" t="s">
        <v>93</v>
      </c>
      <c r="AG4" s="208" t="s">
        <v>441</v>
      </c>
      <c r="AH4" s="212" t="s">
        <v>13</v>
      </c>
      <c r="AI4" s="212" t="s">
        <v>13</v>
      </c>
      <c r="AJ4" s="212" t="s">
        <v>205</v>
      </c>
      <c r="AK4" s="208" t="s">
        <v>848</v>
      </c>
      <c r="AL4" s="212" t="s">
        <v>13</v>
      </c>
      <c r="AM4" s="212" t="s">
        <v>13</v>
      </c>
      <c r="AN4" s="212" t="s">
        <v>93</v>
      </c>
      <c r="AO4" s="194" t="s">
        <v>440</v>
      </c>
      <c r="AP4" s="212" t="s">
        <v>13</v>
      </c>
      <c r="AQ4" s="212" t="s">
        <v>13</v>
      </c>
      <c r="AR4" s="212" t="s">
        <v>93</v>
      </c>
      <c r="AS4" s="208" t="s">
        <v>441</v>
      </c>
      <c r="AT4" s="212" t="s">
        <v>771</v>
      </c>
      <c r="AU4" s="212" t="s">
        <v>771</v>
      </c>
      <c r="AV4" s="212"/>
      <c r="AW4" s="208" t="s">
        <v>441</v>
      </c>
      <c r="AX4" s="208" t="s">
        <v>848</v>
      </c>
      <c r="AY4" s="212" t="s">
        <v>13</v>
      </c>
      <c r="AZ4" s="212" t="s">
        <v>13</v>
      </c>
      <c r="BA4" s="212" t="s">
        <v>93</v>
      </c>
      <c r="BB4" s="195"/>
      <c r="BC4" s="195" t="s">
        <v>849</v>
      </c>
      <c r="BD4" s="196" t="s">
        <v>850</v>
      </c>
    </row>
    <row r="5" spans="1:56">
      <c r="A5" s="372"/>
      <c r="B5" s="372"/>
      <c r="C5" s="372"/>
      <c r="D5" s="372"/>
      <c r="E5" s="372"/>
      <c r="F5" s="372"/>
      <c r="G5" s="372"/>
      <c r="H5" s="372"/>
      <c r="I5" s="372"/>
      <c r="J5" s="372"/>
      <c r="K5" s="372"/>
      <c r="L5" s="372"/>
      <c r="M5" s="372"/>
      <c r="N5" s="372"/>
      <c r="O5" s="372"/>
      <c r="P5" s="372"/>
      <c r="Q5" s="372"/>
      <c r="R5" s="372"/>
      <c r="S5" s="372"/>
      <c r="T5" s="372"/>
      <c r="U5" s="372"/>
      <c r="V5" s="372"/>
      <c r="W5" s="372"/>
      <c r="X5" s="372"/>
      <c r="Y5" s="372"/>
      <c r="Z5" s="372"/>
      <c r="AA5" s="372"/>
      <c r="AB5" s="372"/>
      <c r="AC5" s="372"/>
      <c r="AD5" s="372"/>
      <c r="AE5" s="372"/>
      <c r="AF5" s="372"/>
      <c r="AG5" s="372"/>
      <c r="AH5" s="372"/>
      <c r="AI5" s="372"/>
      <c r="AJ5" s="372"/>
      <c r="AK5" s="372"/>
      <c r="AL5" s="372"/>
      <c r="AM5" s="372"/>
      <c r="AN5" s="372"/>
      <c r="AO5" s="372"/>
      <c r="AP5" s="372"/>
      <c r="AQ5" s="372"/>
      <c r="AR5" s="372"/>
      <c r="AS5" s="372"/>
      <c r="AT5" s="223"/>
      <c r="AU5" s="223"/>
      <c r="AV5" s="223"/>
      <c r="AW5" s="372"/>
      <c r="AX5" s="372"/>
      <c r="AY5" s="372"/>
      <c r="AZ5" s="372"/>
      <c r="BA5" s="372"/>
      <c r="BB5" s="372"/>
      <c r="BC5" s="372"/>
      <c r="BD5" s="372"/>
    </row>
    <row r="6" spans="1:56">
      <c r="A6" s="372"/>
      <c r="B6" s="372"/>
      <c r="C6" s="372"/>
      <c r="D6" s="372"/>
      <c r="E6" s="372"/>
      <c r="F6" s="372"/>
      <c r="G6" s="372"/>
      <c r="H6" s="372"/>
      <c r="I6" s="372"/>
      <c r="J6" s="372"/>
      <c r="K6" s="372"/>
      <c r="L6" s="372"/>
      <c r="M6" s="372"/>
      <c r="N6" s="372"/>
      <c r="O6" s="372"/>
      <c r="P6" s="372"/>
      <c r="Q6" s="372"/>
      <c r="R6" s="372"/>
      <c r="S6" s="372"/>
      <c r="T6" s="372"/>
      <c r="U6" s="372"/>
      <c r="V6" s="372"/>
      <c r="W6" s="372"/>
      <c r="X6" s="372"/>
      <c r="Y6" s="372"/>
      <c r="Z6" s="372"/>
      <c r="AA6" s="372"/>
      <c r="AB6" s="372"/>
      <c r="AC6" s="372"/>
      <c r="AD6" s="372"/>
      <c r="AE6" s="372"/>
      <c r="AF6" s="372"/>
      <c r="AG6" s="372"/>
      <c r="AH6" s="372"/>
      <c r="AI6" s="372"/>
      <c r="AJ6" s="372"/>
      <c r="AK6" s="372"/>
      <c r="AL6" s="372"/>
      <c r="AM6" s="372"/>
      <c r="AN6" s="372"/>
      <c r="AO6" s="372"/>
      <c r="AP6" s="372"/>
      <c r="AQ6" s="372"/>
      <c r="AR6" s="372"/>
      <c r="AS6" s="372"/>
      <c r="AT6" s="223"/>
      <c r="AU6" s="223"/>
      <c r="AV6" s="223"/>
      <c r="AW6" s="372"/>
      <c r="AX6" s="372"/>
      <c r="AY6" s="372"/>
      <c r="AZ6" s="372"/>
      <c r="BA6" s="372"/>
      <c r="BB6" s="372"/>
      <c r="BC6" s="372"/>
      <c r="BD6" s="372"/>
    </row>
  </sheetData>
  <conditionalFormatting sqref="I1 U1 AC1 AG1 AK1 AO1 M1 Q1 AS1 AW1:AX1 Y1">
    <cfRule type="expression" dxfId="33" priority="34">
      <formula>I1&lt;&gt;#REF!</formula>
    </cfRule>
  </conditionalFormatting>
  <conditionalFormatting sqref="R1:T1">
    <cfRule type="cellIs" dxfId="32" priority="31" operator="equal">
      <formula>"fail"</formula>
    </cfRule>
    <cfRule type="cellIs" dxfId="31" priority="32" operator="equal">
      <formula>"pass"</formula>
    </cfRule>
  </conditionalFormatting>
  <conditionalFormatting sqref="Z1:AB1">
    <cfRule type="cellIs" dxfId="30" priority="28" operator="equal">
      <formula>"fail"</formula>
    </cfRule>
    <cfRule type="cellIs" dxfId="29" priority="29" operator="equal">
      <formula>"pass"</formula>
    </cfRule>
  </conditionalFormatting>
  <conditionalFormatting sqref="AD1:AF1">
    <cfRule type="cellIs" dxfId="28" priority="25" operator="equal">
      <formula>"fail"</formula>
    </cfRule>
    <cfRule type="cellIs" dxfId="27" priority="26" operator="equal">
      <formula>"pass"</formula>
    </cfRule>
  </conditionalFormatting>
  <conditionalFormatting sqref="AH1:AJ1">
    <cfRule type="cellIs" dxfId="26" priority="22" operator="equal">
      <formula>"fail"</formula>
    </cfRule>
    <cfRule type="cellIs" dxfId="25" priority="23" operator="equal">
      <formula>"pass"</formula>
    </cfRule>
  </conditionalFormatting>
  <conditionalFormatting sqref="AL1:AN1">
    <cfRule type="cellIs" dxfId="24" priority="19" operator="equal">
      <formula>"fail"</formula>
    </cfRule>
    <cfRule type="cellIs" dxfId="23" priority="20" operator="equal">
      <formula>"pass"</formula>
    </cfRule>
  </conditionalFormatting>
  <conditionalFormatting sqref="AY1:BA1">
    <cfRule type="cellIs" dxfId="22" priority="16" operator="equal">
      <formula>"fail"</formula>
    </cfRule>
    <cfRule type="cellIs" dxfId="21" priority="17" operator="equal">
      <formula>"pass"</formula>
    </cfRule>
  </conditionalFormatting>
  <conditionalFormatting sqref="J1:L1">
    <cfRule type="cellIs" dxfId="20" priority="13" operator="equal">
      <formula>"fail"</formula>
    </cfRule>
    <cfRule type="cellIs" dxfId="19" priority="14" operator="equal">
      <formula>"pass"</formula>
    </cfRule>
  </conditionalFormatting>
  <conditionalFormatting sqref="N1:P1">
    <cfRule type="cellIs" dxfId="18" priority="10" operator="equal">
      <formula>"fail"</formula>
    </cfRule>
    <cfRule type="cellIs" dxfId="17" priority="11" operator="equal">
      <formula>"pass"</formula>
    </cfRule>
  </conditionalFormatting>
  <conditionalFormatting sqref="V1:X1">
    <cfRule type="cellIs" dxfId="16" priority="7" operator="equal">
      <formula>"fail"</formula>
    </cfRule>
    <cfRule type="cellIs" dxfId="15" priority="8" operator="equal">
      <formula>"pass"</formula>
    </cfRule>
  </conditionalFormatting>
  <conditionalFormatting sqref="AP1:AR1">
    <cfRule type="cellIs" dxfId="14" priority="4" operator="equal">
      <formula>"fail"</formula>
    </cfRule>
    <cfRule type="cellIs" dxfId="13" priority="5" operator="equal">
      <formula>"pass"</formula>
    </cfRule>
  </conditionalFormatting>
  <conditionalFormatting sqref="AT1:AV1">
    <cfRule type="cellIs" dxfId="12" priority="1" operator="equal">
      <formula>"fail"</formula>
    </cfRule>
    <cfRule type="cellIs" dxfId="11" priority="2" operator="equal">
      <formula>"pass"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3" id="{4E4AF854-9506-4CB3-8F50-BD3B3A3656A0}">
            <xm:f>R1&lt;&gt;测试用例!#REF!</xm:f>
            <x14:dxf>
              <fill>
                <patternFill>
                  <bgColor rgb="FF92D050"/>
                </patternFill>
              </fill>
            </x14:dxf>
          </x14:cfRule>
          <xm:sqref>R1:T1</xm:sqref>
        </x14:conditionalFormatting>
        <x14:conditionalFormatting xmlns:xm="http://schemas.microsoft.com/office/excel/2006/main">
          <x14:cfRule type="expression" priority="30" id="{A72259FA-C766-4C97-870A-57907EC63C70}">
            <xm:f>Z1&lt;&gt;测试用例!#REF!</xm:f>
            <x14:dxf>
              <fill>
                <patternFill>
                  <bgColor rgb="FF92D050"/>
                </patternFill>
              </fill>
            </x14:dxf>
          </x14:cfRule>
          <xm:sqref>Z1:AB1</xm:sqref>
        </x14:conditionalFormatting>
        <x14:conditionalFormatting xmlns:xm="http://schemas.microsoft.com/office/excel/2006/main">
          <x14:cfRule type="expression" priority="27" id="{8214BF7F-F5B3-48F9-9352-5DCB337F4FFE}">
            <xm:f>AD1&lt;&gt;测试用例!#REF!</xm:f>
            <x14:dxf>
              <fill>
                <patternFill>
                  <bgColor rgb="FF92D050"/>
                </patternFill>
              </fill>
            </x14:dxf>
          </x14:cfRule>
          <xm:sqref>AD1:AF1</xm:sqref>
        </x14:conditionalFormatting>
        <x14:conditionalFormatting xmlns:xm="http://schemas.microsoft.com/office/excel/2006/main">
          <x14:cfRule type="expression" priority="24" id="{C505A8E9-A800-4922-9508-F798B538B700}">
            <xm:f>AH1&lt;&gt;测试用例!#REF!</xm:f>
            <x14:dxf>
              <fill>
                <patternFill>
                  <bgColor rgb="FF92D050"/>
                </patternFill>
              </fill>
            </x14:dxf>
          </x14:cfRule>
          <xm:sqref>AH1:AJ1</xm:sqref>
        </x14:conditionalFormatting>
        <x14:conditionalFormatting xmlns:xm="http://schemas.microsoft.com/office/excel/2006/main">
          <x14:cfRule type="expression" priority="21" id="{65FB6044-5EF6-4C2D-9E4F-14A3500B4AA1}">
            <xm:f>AL1&lt;&gt;测试用例!#REF!</xm:f>
            <x14:dxf>
              <fill>
                <patternFill>
                  <bgColor rgb="FF92D050"/>
                </patternFill>
              </fill>
            </x14:dxf>
          </x14:cfRule>
          <xm:sqref>AL1:AN1</xm:sqref>
        </x14:conditionalFormatting>
        <x14:conditionalFormatting xmlns:xm="http://schemas.microsoft.com/office/excel/2006/main">
          <x14:cfRule type="expression" priority="18" id="{EE418B18-302F-49D0-854E-32FD4ECF5A4C}">
            <xm:f>AY1&lt;&gt;测试用例!#REF!</xm:f>
            <x14:dxf>
              <fill>
                <patternFill>
                  <bgColor rgb="FF92D050"/>
                </patternFill>
              </fill>
            </x14:dxf>
          </x14:cfRule>
          <xm:sqref>AY1:BA1</xm:sqref>
        </x14:conditionalFormatting>
        <x14:conditionalFormatting xmlns:xm="http://schemas.microsoft.com/office/excel/2006/main">
          <x14:cfRule type="expression" priority="15" id="{4E355CAD-489A-4BAA-93A9-389BD0B48AB2}">
            <xm:f>J1&lt;&gt;测试用例!#REF!</xm:f>
            <x14:dxf>
              <fill>
                <patternFill>
                  <bgColor rgb="FF92D050"/>
                </patternFill>
              </fill>
            </x14:dxf>
          </x14:cfRule>
          <xm:sqref>J1:L1</xm:sqref>
        </x14:conditionalFormatting>
        <x14:conditionalFormatting xmlns:xm="http://schemas.microsoft.com/office/excel/2006/main">
          <x14:cfRule type="expression" priority="12" id="{B87CC2D1-9FE1-49A8-A581-557A4A0F6941}">
            <xm:f>N1&lt;&gt;测试用例!#REF!</xm:f>
            <x14:dxf>
              <fill>
                <patternFill>
                  <bgColor rgb="FF92D050"/>
                </patternFill>
              </fill>
            </x14:dxf>
          </x14:cfRule>
          <xm:sqref>N1:P1</xm:sqref>
        </x14:conditionalFormatting>
        <x14:conditionalFormatting xmlns:xm="http://schemas.microsoft.com/office/excel/2006/main">
          <x14:cfRule type="expression" priority="9" id="{80A3C2B0-66F2-43C7-BC32-380A58F898F5}">
            <xm:f>V1&lt;&gt;测试用例!#REF!</xm:f>
            <x14:dxf>
              <fill>
                <patternFill>
                  <bgColor rgb="FF92D050"/>
                </patternFill>
              </fill>
            </x14:dxf>
          </x14:cfRule>
          <xm:sqref>V1:X1</xm:sqref>
        </x14:conditionalFormatting>
        <x14:conditionalFormatting xmlns:xm="http://schemas.microsoft.com/office/excel/2006/main">
          <x14:cfRule type="expression" priority="6" id="{ACEBAB10-0C5A-4C6C-9E0B-BC3847107927}">
            <xm:f>AP1&lt;&gt;测试用例!#REF!</xm:f>
            <x14:dxf>
              <fill>
                <patternFill>
                  <bgColor rgb="FF92D050"/>
                </patternFill>
              </fill>
            </x14:dxf>
          </x14:cfRule>
          <xm:sqref>AP1:AR1</xm:sqref>
        </x14:conditionalFormatting>
        <x14:conditionalFormatting xmlns:xm="http://schemas.microsoft.com/office/excel/2006/main">
          <x14:cfRule type="expression" priority="3" id="{829097CC-AFB2-4790-B90C-032A8C05D9BC}">
            <xm:f>AT1&lt;&gt;测试用例!#REF!</xm:f>
            <x14:dxf>
              <fill>
                <patternFill>
                  <bgColor rgb="FF92D050"/>
                </patternFill>
              </fill>
            </x14:dxf>
          </x14:cfRule>
          <xm:sqref>AT1:AV1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47D87-30E3-420F-BFA3-CA2CC043C293}">
  <dimension ref="A1:H13"/>
  <sheetViews>
    <sheetView showGridLines="0" workbookViewId="0">
      <selection activeCell="B16" sqref="B16"/>
    </sheetView>
  </sheetViews>
  <sheetFormatPr defaultRowHeight="14.25"/>
  <cols>
    <col min="1" max="1" width="9" style="137"/>
    <col min="2" max="2" width="14.625" style="137" customWidth="1"/>
    <col min="3" max="3" width="9" style="137"/>
    <col min="4" max="5" width="16.5" style="137" customWidth="1"/>
    <col min="6" max="6" width="52.75" style="137" customWidth="1"/>
    <col min="7" max="7" width="12.875" style="137" customWidth="1"/>
    <col min="8" max="8" width="64.25" style="137" customWidth="1"/>
    <col min="9" max="16384" width="9" style="137"/>
  </cols>
  <sheetData>
    <row r="1" spans="1:8">
      <c r="A1" s="132" t="s">
        <v>442</v>
      </c>
      <c r="B1" s="132" t="s">
        <v>1</v>
      </c>
      <c r="C1" s="132" t="s">
        <v>443</v>
      </c>
      <c r="D1" s="132" t="s">
        <v>444</v>
      </c>
      <c r="E1" s="132" t="s">
        <v>542</v>
      </c>
      <c r="F1" s="132" t="s">
        <v>541</v>
      </c>
      <c r="G1" s="132" t="s">
        <v>446</v>
      </c>
      <c r="H1" s="132" t="s">
        <v>11</v>
      </c>
    </row>
    <row r="2" spans="1:8" ht="30.75" customHeight="1">
      <c r="A2" s="138" t="s">
        <v>75</v>
      </c>
      <c r="B2" s="139" t="s">
        <v>851</v>
      </c>
      <c r="C2" s="47" t="s">
        <v>68</v>
      </c>
      <c r="D2" s="64" t="s">
        <v>852</v>
      </c>
      <c r="E2" s="64" t="s">
        <v>853</v>
      </c>
      <c r="F2" s="139" t="s">
        <v>588</v>
      </c>
      <c r="G2" s="46" t="s">
        <v>589</v>
      </c>
      <c r="H2" s="133" t="s">
        <v>854</v>
      </c>
    </row>
    <row r="3" spans="1:8" ht="30.75" customHeight="1">
      <c r="A3" s="140" t="s">
        <v>75</v>
      </c>
      <c r="B3" s="134" t="s">
        <v>855</v>
      </c>
      <c r="C3" s="47" t="s">
        <v>68</v>
      </c>
      <c r="D3" s="135" t="s">
        <v>856</v>
      </c>
      <c r="E3" s="64" t="s">
        <v>853</v>
      </c>
      <c r="F3" s="134" t="s">
        <v>857</v>
      </c>
      <c r="G3" s="73" t="s">
        <v>118</v>
      </c>
      <c r="H3" s="133" t="s">
        <v>858</v>
      </c>
    </row>
    <row r="4" spans="1:8" ht="30.75" customHeight="1">
      <c r="A4" s="140" t="s">
        <v>75</v>
      </c>
      <c r="B4" s="134" t="s">
        <v>859</v>
      </c>
      <c r="C4" s="47" t="s">
        <v>68</v>
      </c>
      <c r="D4" s="135" t="s">
        <v>860</v>
      </c>
      <c r="E4" s="64" t="s">
        <v>853</v>
      </c>
      <c r="F4" s="134" t="s">
        <v>861</v>
      </c>
      <c r="G4" s="73" t="s">
        <v>118</v>
      </c>
      <c r="H4" s="133" t="s">
        <v>858</v>
      </c>
    </row>
    <row r="5" spans="1:8" ht="30.75" customHeight="1">
      <c r="A5" s="140" t="s">
        <v>75</v>
      </c>
      <c r="B5" s="134" t="s">
        <v>862</v>
      </c>
      <c r="C5" s="47" t="s">
        <v>68</v>
      </c>
      <c r="D5" s="135" t="s">
        <v>863</v>
      </c>
      <c r="E5" s="64" t="s">
        <v>853</v>
      </c>
      <c r="F5" s="134" t="s">
        <v>864</v>
      </c>
      <c r="G5" s="73" t="s">
        <v>118</v>
      </c>
      <c r="H5" s="133" t="s">
        <v>858</v>
      </c>
    </row>
    <row r="6" spans="1:8" ht="30.75" customHeight="1">
      <c r="A6" s="140" t="s">
        <v>75</v>
      </c>
      <c r="B6" s="134" t="s">
        <v>865</v>
      </c>
      <c r="C6" s="47" t="s">
        <v>68</v>
      </c>
      <c r="D6" s="135" t="s">
        <v>866</v>
      </c>
      <c r="E6" s="64" t="s">
        <v>853</v>
      </c>
      <c r="F6" s="134" t="s">
        <v>867</v>
      </c>
      <c r="G6" s="73" t="s">
        <v>118</v>
      </c>
      <c r="H6" s="133" t="s">
        <v>858</v>
      </c>
    </row>
    <row r="7" spans="1:8" ht="30.75" customHeight="1">
      <c r="A7" s="140" t="s">
        <v>75</v>
      </c>
      <c r="B7" s="134" t="s">
        <v>868</v>
      </c>
      <c r="C7" s="47" t="s">
        <v>68</v>
      </c>
      <c r="D7" s="135" t="s">
        <v>869</v>
      </c>
      <c r="E7" s="64" t="s">
        <v>853</v>
      </c>
      <c r="F7" s="134" t="s">
        <v>870</v>
      </c>
      <c r="G7" s="73" t="s">
        <v>118</v>
      </c>
      <c r="H7" s="133" t="s">
        <v>858</v>
      </c>
    </row>
    <row r="8" spans="1:8" ht="30.75" customHeight="1">
      <c r="A8" s="140" t="s">
        <v>75</v>
      </c>
      <c r="B8" s="134" t="s">
        <v>871</v>
      </c>
      <c r="C8" s="47" t="s">
        <v>68</v>
      </c>
      <c r="D8" s="135" t="s">
        <v>872</v>
      </c>
      <c r="E8" s="64" t="s">
        <v>853</v>
      </c>
      <c r="F8" s="134" t="s">
        <v>873</v>
      </c>
      <c r="G8" s="73" t="s">
        <v>118</v>
      </c>
      <c r="H8" s="133" t="s">
        <v>858</v>
      </c>
    </row>
    <row r="9" spans="1:8" ht="30.75" customHeight="1">
      <c r="A9" s="140" t="s">
        <v>750</v>
      </c>
      <c r="B9" s="134" t="s">
        <v>874</v>
      </c>
      <c r="C9" s="58" t="s">
        <v>712</v>
      </c>
      <c r="D9" s="136" t="s">
        <v>875</v>
      </c>
      <c r="E9" s="64" t="s">
        <v>853</v>
      </c>
      <c r="F9" s="134" t="s">
        <v>876</v>
      </c>
      <c r="G9" s="73" t="s">
        <v>118</v>
      </c>
      <c r="H9" s="133" t="s">
        <v>858</v>
      </c>
    </row>
    <row r="10" spans="1:8" ht="30.75" customHeight="1">
      <c r="A10" s="140" t="s">
        <v>750</v>
      </c>
      <c r="B10" s="134" t="s">
        <v>877</v>
      </c>
      <c r="C10" s="58" t="s">
        <v>712</v>
      </c>
      <c r="D10" s="136" t="s">
        <v>878</v>
      </c>
      <c r="E10" s="64" t="s">
        <v>853</v>
      </c>
      <c r="F10" s="134" t="s">
        <v>879</v>
      </c>
      <c r="G10" s="73" t="s">
        <v>118</v>
      </c>
      <c r="H10" s="133" t="s">
        <v>858</v>
      </c>
    </row>
    <row r="11" spans="1:8" ht="30.75" customHeight="1">
      <c r="A11" s="140" t="s">
        <v>750</v>
      </c>
      <c r="B11" s="134" t="s">
        <v>880</v>
      </c>
      <c r="C11" s="58" t="s">
        <v>712</v>
      </c>
      <c r="D11" s="136" t="s">
        <v>881</v>
      </c>
      <c r="E11" s="64" t="s">
        <v>853</v>
      </c>
      <c r="F11" s="134" t="s">
        <v>882</v>
      </c>
      <c r="G11" s="73" t="s">
        <v>883</v>
      </c>
      <c r="H11" s="126" t="s">
        <v>884</v>
      </c>
    </row>
    <row r="12" spans="1:8" ht="30.75" customHeight="1">
      <c r="A12" s="140" t="s">
        <v>750</v>
      </c>
      <c r="B12" s="134" t="s">
        <v>885</v>
      </c>
      <c r="C12" s="58" t="s">
        <v>712</v>
      </c>
      <c r="D12" s="136" t="s">
        <v>886</v>
      </c>
      <c r="E12" s="64" t="s">
        <v>853</v>
      </c>
      <c r="F12" s="134" t="s">
        <v>887</v>
      </c>
      <c r="G12" s="73" t="s">
        <v>883</v>
      </c>
      <c r="H12" s="126" t="s">
        <v>884</v>
      </c>
    </row>
    <row r="13" spans="1:8" ht="30.75" customHeight="1">
      <c r="A13" s="140" t="s">
        <v>750</v>
      </c>
      <c r="B13" s="134" t="s">
        <v>888</v>
      </c>
      <c r="C13" s="58" t="s">
        <v>712</v>
      </c>
      <c r="D13" s="136" t="s">
        <v>889</v>
      </c>
      <c r="E13" s="64" t="s">
        <v>853</v>
      </c>
      <c r="F13" s="134" t="s">
        <v>890</v>
      </c>
      <c r="G13" s="73" t="s">
        <v>883</v>
      </c>
      <c r="H13" s="126" t="s">
        <v>884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79E8F-BB7D-484F-A504-4F103F7657FE}">
  <dimension ref="B2:L17"/>
  <sheetViews>
    <sheetView topLeftCell="B1" zoomScale="85" zoomScaleNormal="85" workbookViewId="0">
      <selection activeCell="K11" sqref="K11"/>
    </sheetView>
  </sheetViews>
  <sheetFormatPr defaultColWidth="8.875" defaultRowHeight="11.45"/>
  <cols>
    <col min="1" max="1" width="2" style="41" customWidth="1"/>
    <col min="2" max="2" width="9.25" style="41" customWidth="1"/>
    <col min="3" max="3" width="41.75" style="41" customWidth="1"/>
    <col min="4" max="4" width="15.125" style="41" bestFit="1" customWidth="1"/>
    <col min="5" max="5" width="16.375" style="41" customWidth="1"/>
    <col min="6" max="6" width="14.625" style="41" customWidth="1"/>
    <col min="7" max="7" width="14.875" style="41" customWidth="1"/>
    <col min="8" max="17" width="14.25" style="41" customWidth="1"/>
    <col min="18" max="25" width="16.75" style="41" customWidth="1"/>
    <col min="26" max="16384" width="8.875" style="41"/>
  </cols>
  <sheetData>
    <row r="2" spans="2:12" ht="22.15" customHeight="1">
      <c r="B2" s="368" t="s">
        <v>891</v>
      </c>
      <c r="C2" s="369"/>
      <c r="D2" s="40">
        <v>45776</v>
      </c>
      <c r="E2" s="40">
        <v>45785</v>
      </c>
      <c r="F2" s="40">
        <v>45796</v>
      </c>
      <c r="G2" s="40">
        <v>45797</v>
      </c>
      <c r="H2" s="40">
        <v>45800</v>
      </c>
      <c r="I2" s="40">
        <v>45811</v>
      </c>
      <c r="J2" s="40">
        <v>45813</v>
      </c>
      <c r="K2" s="40"/>
      <c r="L2" s="40"/>
    </row>
    <row r="3" spans="2:12" ht="18" customHeight="1">
      <c r="B3" s="368" t="s">
        <v>892</v>
      </c>
      <c r="C3" s="369"/>
      <c r="D3" s="42" t="s">
        <v>893</v>
      </c>
      <c r="E3" s="42" t="s">
        <v>894</v>
      </c>
      <c r="F3" s="42" t="s">
        <v>895</v>
      </c>
      <c r="G3" s="42" t="s">
        <v>896</v>
      </c>
      <c r="H3" s="42" t="s">
        <v>897</v>
      </c>
      <c r="I3" s="42" t="s">
        <v>898</v>
      </c>
      <c r="J3" s="42" t="s">
        <v>899</v>
      </c>
      <c r="K3" s="42"/>
      <c r="L3" s="42"/>
    </row>
    <row r="4" spans="2:12" ht="104.25">
      <c r="B4" s="370" t="s">
        <v>900</v>
      </c>
      <c r="C4" s="371"/>
      <c r="D4" s="45" t="s">
        <v>901</v>
      </c>
      <c r="E4" s="89" t="s">
        <v>902</v>
      </c>
      <c r="F4" s="89" t="s">
        <v>903</v>
      </c>
      <c r="G4" s="89" t="s">
        <v>904</v>
      </c>
      <c r="H4" s="89" t="s">
        <v>905</v>
      </c>
      <c r="I4" s="89" t="s">
        <v>906</v>
      </c>
      <c r="J4" s="89" t="s">
        <v>74</v>
      </c>
      <c r="K4" s="89"/>
      <c r="L4" s="89"/>
    </row>
    <row r="5" spans="2:12">
      <c r="B5" s="367" t="s">
        <v>907</v>
      </c>
      <c r="C5" s="43" t="s">
        <v>908</v>
      </c>
      <c r="D5" s="50" t="s">
        <v>13</v>
      </c>
      <c r="E5" s="50"/>
      <c r="F5" s="50"/>
      <c r="G5" s="50"/>
      <c r="H5" s="50" t="s">
        <v>13</v>
      </c>
      <c r="I5" s="50"/>
      <c r="J5" s="50"/>
      <c r="K5" s="50"/>
      <c r="L5" s="50"/>
    </row>
    <row r="6" spans="2:12">
      <c r="B6" s="367"/>
      <c r="C6" s="90" t="s">
        <v>909</v>
      </c>
      <c r="D6" s="50"/>
      <c r="E6" s="50"/>
      <c r="F6" s="50"/>
      <c r="G6" s="50" t="s">
        <v>13</v>
      </c>
      <c r="H6" s="50"/>
      <c r="I6" s="50"/>
      <c r="J6" s="50" t="s">
        <v>13</v>
      </c>
      <c r="K6" s="50"/>
      <c r="L6" s="50"/>
    </row>
    <row r="7" spans="2:12">
      <c r="B7" s="367" t="s">
        <v>910</v>
      </c>
      <c r="C7" s="90" t="s">
        <v>911</v>
      </c>
      <c r="D7" s="50" t="s">
        <v>14</v>
      </c>
      <c r="E7" s="50"/>
      <c r="F7" s="50"/>
      <c r="G7" s="50"/>
      <c r="H7" s="50"/>
      <c r="I7" s="50"/>
      <c r="J7" s="50"/>
      <c r="K7" s="50"/>
      <c r="L7" s="50"/>
    </row>
    <row r="8" spans="2:12">
      <c r="B8" s="367"/>
      <c r="C8" s="44" t="s">
        <v>912</v>
      </c>
      <c r="D8" s="50"/>
      <c r="E8" s="50" t="s">
        <v>14</v>
      </c>
      <c r="F8" s="50" t="s">
        <v>14</v>
      </c>
      <c r="G8" s="50"/>
      <c r="H8" s="50"/>
      <c r="I8" s="50"/>
      <c r="J8" s="50"/>
      <c r="K8" s="50"/>
      <c r="L8" s="50"/>
    </row>
    <row r="9" spans="2:12">
      <c r="B9" s="367"/>
      <c r="C9" s="90" t="s">
        <v>913</v>
      </c>
      <c r="D9" s="50"/>
      <c r="E9" s="50"/>
      <c r="F9" s="50"/>
      <c r="G9" s="50"/>
      <c r="H9" s="50"/>
      <c r="I9" s="50"/>
      <c r="J9" s="50"/>
      <c r="K9" s="50"/>
      <c r="L9" s="50"/>
    </row>
    <row r="10" spans="2:12">
      <c r="B10" s="367"/>
      <c r="C10" s="90" t="s">
        <v>914</v>
      </c>
      <c r="D10" s="50"/>
      <c r="E10" s="50"/>
      <c r="F10" s="50"/>
      <c r="G10" s="50"/>
      <c r="H10" s="50" t="s">
        <v>64</v>
      </c>
      <c r="I10" s="50"/>
      <c r="J10" s="50"/>
      <c r="K10" s="50"/>
      <c r="L10" s="50"/>
    </row>
    <row r="11" spans="2:12">
      <c r="B11" s="367"/>
      <c r="C11" s="90" t="s">
        <v>915</v>
      </c>
      <c r="D11" s="50"/>
      <c r="E11" s="50"/>
      <c r="F11" s="50"/>
      <c r="G11" s="50" t="s">
        <v>13</v>
      </c>
      <c r="H11" s="50"/>
      <c r="I11" s="50"/>
      <c r="J11" s="50"/>
      <c r="K11" s="50"/>
      <c r="L11" s="50"/>
    </row>
    <row r="12" spans="2:12">
      <c r="B12" s="367" t="s">
        <v>916</v>
      </c>
      <c r="C12" s="90" t="s">
        <v>917</v>
      </c>
      <c r="D12" s="50"/>
      <c r="E12" s="50"/>
      <c r="F12" s="50"/>
      <c r="G12" s="50" t="s">
        <v>13</v>
      </c>
      <c r="H12" s="50"/>
      <c r="I12" s="50"/>
      <c r="J12" s="50"/>
      <c r="K12" s="50"/>
      <c r="L12" s="50"/>
    </row>
    <row r="13" spans="2:12">
      <c r="B13" s="367"/>
      <c r="C13" s="90" t="s">
        <v>918</v>
      </c>
      <c r="D13" s="50"/>
      <c r="E13" s="50"/>
      <c r="F13" s="50"/>
      <c r="G13" s="50"/>
      <c r="H13" s="50"/>
      <c r="I13" s="50"/>
      <c r="J13" s="50"/>
      <c r="K13" s="50"/>
      <c r="L13" s="50"/>
    </row>
    <row r="14" spans="2:12">
      <c r="B14" s="367"/>
      <c r="C14" s="90" t="s">
        <v>919</v>
      </c>
      <c r="D14" s="50"/>
      <c r="E14" s="50" t="s">
        <v>13</v>
      </c>
      <c r="F14" s="50"/>
      <c r="G14" s="50"/>
      <c r="H14" s="50"/>
      <c r="I14" s="50"/>
      <c r="J14" s="50"/>
      <c r="K14" s="50"/>
      <c r="L14" s="50"/>
    </row>
    <row r="15" spans="2:12">
      <c r="B15" s="367"/>
      <c r="C15" s="90" t="s">
        <v>920</v>
      </c>
      <c r="D15" s="50"/>
      <c r="E15" s="50"/>
      <c r="F15" s="50"/>
      <c r="G15" s="50"/>
      <c r="H15" s="50"/>
      <c r="I15" s="50"/>
      <c r="J15" s="50"/>
      <c r="K15" s="50"/>
      <c r="L15" s="50"/>
    </row>
    <row r="16" spans="2:12">
      <c r="B16" s="367"/>
      <c r="C16" s="90" t="s">
        <v>921</v>
      </c>
      <c r="D16" s="50"/>
      <c r="E16" s="50"/>
      <c r="F16" s="50"/>
      <c r="G16" s="50"/>
      <c r="H16" s="50"/>
      <c r="I16" s="50" t="s">
        <v>13</v>
      </c>
      <c r="J16" s="50"/>
      <c r="K16" s="50"/>
      <c r="L16" s="50"/>
    </row>
    <row r="17" spans="2:12">
      <c r="B17" s="50" t="s">
        <v>922</v>
      </c>
      <c r="C17" s="90" t="s">
        <v>923</v>
      </c>
      <c r="D17" s="50"/>
      <c r="E17" s="50"/>
      <c r="F17" s="50"/>
      <c r="G17" s="50"/>
      <c r="H17" s="50"/>
      <c r="I17" s="50"/>
      <c r="J17" s="50"/>
      <c r="K17" s="50"/>
      <c r="L17" s="50"/>
    </row>
  </sheetData>
  <mergeCells count="6">
    <mergeCell ref="B5:B6"/>
    <mergeCell ref="B7:B11"/>
    <mergeCell ref="B12:B16"/>
    <mergeCell ref="B3:C3"/>
    <mergeCell ref="B2:C2"/>
    <mergeCell ref="B4:C4"/>
  </mergeCells>
  <phoneticPr fontId="5" type="noConversion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D953A-E867-4662-B4A8-73429CFF1EF2}">
  <dimension ref="A1:I277"/>
  <sheetViews>
    <sheetView showGridLines="0" topLeftCell="A173" workbookViewId="0">
      <selection activeCell="C209" sqref="C209"/>
    </sheetView>
  </sheetViews>
  <sheetFormatPr defaultColWidth="13.25" defaultRowHeight="11.45"/>
  <cols>
    <col min="1" max="1" width="13.25" style="36"/>
    <col min="2" max="2" width="12.125" style="36" customWidth="1"/>
    <col min="3" max="3" width="9.5" style="36" bestFit="1" customWidth="1"/>
    <col min="4" max="4" width="77.875" style="37" customWidth="1"/>
    <col min="5" max="5" width="10" style="36" customWidth="1"/>
    <col min="6" max="6" width="14.75" style="36" customWidth="1"/>
    <col min="7" max="7" width="9" style="36" bestFit="1" customWidth="1"/>
    <col min="8" max="8" width="9" style="36" customWidth="1"/>
    <col min="9" max="16384" width="13.25" style="36"/>
  </cols>
  <sheetData>
    <row r="1" spans="1:9">
      <c r="A1" s="32"/>
      <c r="B1" s="35" t="s">
        <v>924</v>
      </c>
      <c r="C1" s="32"/>
      <c r="D1" s="91"/>
      <c r="E1" s="32"/>
      <c r="F1" s="32"/>
      <c r="G1" s="32"/>
      <c r="H1" s="32"/>
      <c r="I1" s="32"/>
    </row>
    <row r="2" spans="1:9" ht="12">
      <c r="A2" s="32"/>
      <c r="B2" s="101" t="s">
        <v>925</v>
      </c>
      <c r="C2" s="101" t="s">
        <v>1</v>
      </c>
      <c r="D2" s="102" t="s">
        <v>926</v>
      </c>
      <c r="E2" s="101" t="s">
        <v>927</v>
      </c>
      <c r="F2" s="101" t="s">
        <v>928</v>
      </c>
      <c r="G2" s="92" t="s">
        <v>929</v>
      </c>
      <c r="H2" s="92" t="s">
        <v>930</v>
      </c>
      <c r="I2" s="32"/>
    </row>
    <row r="3" spans="1:9" ht="12">
      <c r="A3" s="32"/>
      <c r="B3" s="38" t="s">
        <v>931</v>
      </c>
      <c r="C3" s="38" t="s">
        <v>932</v>
      </c>
      <c r="D3" s="39" t="s">
        <v>933</v>
      </c>
      <c r="E3" s="38"/>
      <c r="F3" s="38">
        <v>1</v>
      </c>
      <c r="G3" s="92"/>
      <c r="H3" s="92"/>
      <c r="I3" s="32"/>
    </row>
    <row r="4" spans="1:9" ht="12">
      <c r="A4" s="32"/>
      <c r="B4" s="38" t="s">
        <v>934</v>
      </c>
      <c r="C4" s="38" t="s">
        <v>935</v>
      </c>
      <c r="D4" s="39" t="s">
        <v>936</v>
      </c>
      <c r="E4" s="38"/>
      <c r="F4" s="38">
        <v>1</v>
      </c>
      <c r="G4" s="92"/>
      <c r="H4" s="92"/>
      <c r="I4" s="32"/>
    </row>
    <row r="5" spans="1:9" ht="12">
      <c r="A5" s="32"/>
      <c r="B5" s="38" t="s">
        <v>937</v>
      </c>
      <c r="C5" s="38" t="s">
        <v>938</v>
      </c>
      <c r="D5" s="39" t="s">
        <v>939</v>
      </c>
      <c r="E5" s="38"/>
      <c r="F5" s="38">
        <v>1</v>
      </c>
      <c r="G5" s="92"/>
      <c r="H5" s="92"/>
      <c r="I5" s="32"/>
    </row>
    <row r="6" spans="1:9" ht="12">
      <c r="A6" s="32"/>
      <c r="B6" s="38" t="s">
        <v>940</v>
      </c>
      <c r="C6" s="38" t="s">
        <v>941</v>
      </c>
      <c r="D6" s="39" t="s">
        <v>942</v>
      </c>
      <c r="E6" s="38"/>
      <c r="F6" s="38">
        <v>1</v>
      </c>
      <c r="G6" s="92"/>
      <c r="H6" s="92"/>
      <c r="I6" s="32"/>
    </row>
    <row r="7" spans="1:9" ht="12">
      <c r="A7" s="32"/>
      <c r="B7" s="38" t="s">
        <v>943</v>
      </c>
      <c r="C7" s="38" t="s">
        <v>944</v>
      </c>
      <c r="D7" s="39" t="s">
        <v>945</v>
      </c>
      <c r="E7" s="38"/>
      <c r="F7" s="38">
        <v>2</v>
      </c>
      <c r="G7" s="92"/>
      <c r="H7" s="92"/>
      <c r="I7" s="32"/>
    </row>
    <row r="8" spans="1:9" ht="12">
      <c r="A8" s="32"/>
      <c r="B8" s="38" t="s">
        <v>946</v>
      </c>
      <c r="C8" s="38" t="s">
        <v>947</v>
      </c>
      <c r="D8" s="39" t="s">
        <v>948</v>
      </c>
      <c r="E8" s="38"/>
      <c r="F8" s="38">
        <v>2</v>
      </c>
      <c r="G8" s="92"/>
      <c r="H8" s="92"/>
      <c r="I8" s="32"/>
    </row>
    <row r="9" spans="1:9" ht="12">
      <c r="A9" s="32"/>
      <c r="B9" s="38" t="s">
        <v>949</v>
      </c>
      <c r="C9" s="38" t="s">
        <v>950</v>
      </c>
      <c r="D9" s="39" t="s">
        <v>951</v>
      </c>
      <c r="E9" s="38"/>
      <c r="F9" s="38">
        <v>2</v>
      </c>
      <c r="G9" s="92"/>
      <c r="H9" s="92"/>
      <c r="I9" s="32"/>
    </row>
    <row r="10" spans="1:9" ht="12">
      <c r="A10" s="32"/>
      <c r="B10" s="38" t="s">
        <v>952</v>
      </c>
      <c r="C10" s="38" t="s">
        <v>953</v>
      </c>
      <c r="D10" s="39" t="s">
        <v>954</v>
      </c>
      <c r="E10" s="38"/>
      <c r="F10" s="38">
        <v>1</v>
      </c>
      <c r="G10" s="92"/>
      <c r="H10" s="92"/>
      <c r="I10" s="32"/>
    </row>
    <row r="11" spans="1:9" ht="12">
      <c r="A11" s="32"/>
      <c r="B11" s="38" t="s">
        <v>952</v>
      </c>
      <c r="C11" s="38" t="s">
        <v>955</v>
      </c>
      <c r="D11" s="39" t="s">
        <v>956</v>
      </c>
      <c r="E11" s="38"/>
      <c r="F11" s="38">
        <v>1</v>
      </c>
      <c r="G11" s="92"/>
      <c r="H11" s="92"/>
      <c r="I11" s="32"/>
    </row>
    <row r="12" spans="1:9" ht="12">
      <c r="A12" s="32"/>
      <c r="B12" s="38" t="s">
        <v>957</v>
      </c>
      <c r="C12" s="38" t="s">
        <v>958</v>
      </c>
      <c r="D12" s="39" t="s">
        <v>959</v>
      </c>
      <c r="E12" s="38"/>
      <c r="F12" s="38">
        <v>1</v>
      </c>
      <c r="G12" s="92"/>
      <c r="H12" s="92"/>
      <c r="I12" s="32"/>
    </row>
    <row r="13" spans="1:9" ht="12">
      <c r="A13" s="32"/>
      <c r="B13" s="38" t="s">
        <v>960</v>
      </c>
      <c r="C13" s="38" t="s">
        <v>961</v>
      </c>
      <c r="D13" s="39" t="s">
        <v>962</v>
      </c>
      <c r="E13" s="38"/>
      <c r="F13" s="38">
        <v>2</v>
      </c>
      <c r="G13" s="92"/>
      <c r="H13" s="92"/>
      <c r="I13" s="32"/>
    </row>
    <row r="14" spans="1:9" ht="12">
      <c r="A14" s="32"/>
      <c r="B14" s="38" t="s">
        <v>963</v>
      </c>
      <c r="C14" s="38" t="s">
        <v>964</v>
      </c>
      <c r="D14" s="39" t="s">
        <v>965</v>
      </c>
      <c r="E14" s="38"/>
      <c r="F14" s="38">
        <v>1</v>
      </c>
      <c r="G14" s="92"/>
      <c r="H14" s="92"/>
      <c r="I14" s="32"/>
    </row>
    <row r="15" spans="1:9" ht="12">
      <c r="A15" s="32"/>
      <c r="B15" s="38" t="s">
        <v>940</v>
      </c>
      <c r="C15" s="38" t="s">
        <v>966</v>
      </c>
      <c r="D15" s="39" t="s">
        <v>967</v>
      </c>
      <c r="E15" s="38"/>
      <c r="F15" s="38">
        <v>1</v>
      </c>
      <c r="G15" s="92"/>
      <c r="H15" s="92"/>
      <c r="I15" s="32"/>
    </row>
    <row r="16" spans="1:9" ht="12">
      <c r="A16" s="32"/>
      <c r="B16" s="38" t="s">
        <v>968</v>
      </c>
      <c r="C16" s="38" t="s">
        <v>969</v>
      </c>
      <c r="D16" s="39" t="s">
        <v>970</v>
      </c>
      <c r="E16" s="38"/>
      <c r="F16" s="38">
        <v>1</v>
      </c>
      <c r="G16" s="92"/>
      <c r="H16" s="92"/>
      <c r="I16" s="32"/>
    </row>
    <row r="17" spans="1:9" ht="12">
      <c r="A17" s="32"/>
      <c r="B17" s="38" t="s">
        <v>968</v>
      </c>
      <c r="C17" s="38" t="s">
        <v>971</v>
      </c>
      <c r="D17" s="39" t="s">
        <v>972</v>
      </c>
      <c r="E17" s="38"/>
      <c r="F17" s="38">
        <v>1</v>
      </c>
      <c r="G17" s="92"/>
      <c r="H17" s="92"/>
      <c r="I17" s="32"/>
    </row>
    <row r="18" spans="1:9" ht="12">
      <c r="A18" s="32"/>
      <c r="B18" s="38" t="s">
        <v>968</v>
      </c>
      <c r="C18" s="38" t="s">
        <v>973</v>
      </c>
      <c r="D18" s="39" t="s">
        <v>974</v>
      </c>
      <c r="E18" s="38"/>
      <c r="F18" s="38">
        <v>1</v>
      </c>
      <c r="G18" s="92"/>
      <c r="H18" s="92"/>
      <c r="I18" s="32"/>
    </row>
    <row r="19" spans="1:9" ht="12">
      <c r="A19" s="32"/>
      <c r="B19" s="38" t="s">
        <v>968</v>
      </c>
      <c r="C19" s="38" t="s">
        <v>975</v>
      </c>
      <c r="D19" s="39" t="s">
        <v>976</v>
      </c>
      <c r="E19" s="38"/>
      <c r="F19" s="38">
        <v>1</v>
      </c>
      <c r="G19" s="92"/>
      <c r="H19" s="92"/>
      <c r="I19" s="32"/>
    </row>
    <row r="20" spans="1:9" ht="12">
      <c r="A20" s="32"/>
      <c r="B20" s="38" t="s">
        <v>977</v>
      </c>
      <c r="C20" s="38" t="s">
        <v>978</v>
      </c>
      <c r="D20" s="39" t="s">
        <v>979</v>
      </c>
      <c r="E20" s="38"/>
      <c r="F20" s="38">
        <v>4</v>
      </c>
      <c r="G20" s="92"/>
      <c r="H20" s="92"/>
      <c r="I20" s="32"/>
    </row>
    <row r="21" spans="1:9" ht="12">
      <c r="A21" s="32"/>
      <c r="B21" s="38" t="s">
        <v>980</v>
      </c>
      <c r="C21" s="38" t="s">
        <v>981</v>
      </c>
      <c r="D21" s="39" t="s">
        <v>982</v>
      </c>
      <c r="E21" s="38"/>
      <c r="F21" s="38">
        <v>2</v>
      </c>
      <c r="G21" s="92"/>
      <c r="H21" s="92"/>
      <c r="I21" s="32"/>
    </row>
    <row r="22" spans="1:9" ht="12">
      <c r="A22" s="32"/>
      <c r="B22" s="38" t="s">
        <v>983</v>
      </c>
      <c r="C22" s="38" t="s">
        <v>361</v>
      </c>
      <c r="D22" s="39" t="s">
        <v>984</v>
      </c>
      <c r="E22" s="38"/>
      <c r="F22" s="38">
        <v>1</v>
      </c>
      <c r="G22" s="92"/>
      <c r="H22" s="92"/>
      <c r="I22" s="32"/>
    </row>
    <row r="23" spans="1:9" ht="12">
      <c r="A23" s="32"/>
      <c r="B23" s="38" t="s">
        <v>968</v>
      </c>
      <c r="C23" s="38" t="s">
        <v>985</v>
      </c>
      <c r="D23" s="39" t="s">
        <v>986</v>
      </c>
      <c r="E23" s="38"/>
      <c r="F23" s="38">
        <v>2</v>
      </c>
      <c r="G23" s="92"/>
      <c r="H23" s="92"/>
      <c r="I23" s="32"/>
    </row>
    <row r="24" spans="1:9" ht="12">
      <c r="A24" s="32"/>
      <c r="B24" s="38" t="s">
        <v>987</v>
      </c>
      <c r="C24" s="38" t="s">
        <v>988</v>
      </c>
      <c r="D24" s="39" t="s">
        <v>989</v>
      </c>
      <c r="E24" s="38"/>
      <c r="F24" s="38">
        <v>1</v>
      </c>
      <c r="G24" s="92"/>
      <c r="H24" s="92"/>
      <c r="I24" s="32"/>
    </row>
    <row r="25" spans="1:9" ht="12">
      <c r="A25" s="32"/>
      <c r="B25" s="38" t="s">
        <v>990</v>
      </c>
      <c r="C25" s="38" t="s">
        <v>991</v>
      </c>
      <c r="D25" s="39" t="s">
        <v>58</v>
      </c>
      <c r="E25" s="38">
        <v>7</v>
      </c>
      <c r="F25" s="38">
        <v>1</v>
      </c>
      <c r="G25" s="92"/>
      <c r="H25" s="92"/>
      <c r="I25" s="32"/>
    </row>
    <row r="26" spans="1:9" ht="12">
      <c r="A26" s="32"/>
      <c r="B26" s="38" t="s">
        <v>66</v>
      </c>
      <c r="C26" s="38" t="s">
        <v>992</v>
      </c>
      <c r="D26" s="39" t="s">
        <v>70</v>
      </c>
      <c r="E26" s="38">
        <v>8</v>
      </c>
      <c r="F26" s="38">
        <v>1</v>
      </c>
      <c r="G26" s="92"/>
      <c r="H26" s="92"/>
      <c r="I26" s="32"/>
    </row>
    <row r="27" spans="1:9" ht="12">
      <c r="A27" s="32"/>
      <c r="B27" s="38" t="s">
        <v>103</v>
      </c>
      <c r="C27" s="38" t="s">
        <v>104</v>
      </c>
      <c r="D27" s="39" t="s">
        <v>107</v>
      </c>
      <c r="E27" s="38">
        <v>5</v>
      </c>
      <c r="F27" s="38">
        <v>1</v>
      </c>
      <c r="G27" s="92"/>
      <c r="H27" s="92"/>
      <c r="I27" s="32"/>
    </row>
    <row r="28" spans="1:9" ht="12">
      <c r="A28" s="32"/>
      <c r="B28" s="38" t="s">
        <v>103</v>
      </c>
      <c r="C28" s="38" t="s">
        <v>111</v>
      </c>
      <c r="D28" s="39" t="s">
        <v>113</v>
      </c>
      <c r="E28" s="38">
        <v>8</v>
      </c>
      <c r="F28" s="38">
        <v>1</v>
      </c>
      <c r="G28" s="92"/>
      <c r="H28" s="92"/>
      <c r="I28" s="32"/>
    </row>
    <row r="29" spans="1:9" ht="12">
      <c r="A29" s="32"/>
      <c r="B29" s="38" t="s">
        <v>103</v>
      </c>
      <c r="C29" s="38" t="s">
        <v>993</v>
      </c>
      <c r="D29" s="39" t="s">
        <v>131</v>
      </c>
      <c r="E29" s="38">
        <v>11</v>
      </c>
      <c r="F29" s="38">
        <v>1</v>
      </c>
      <c r="G29" s="92"/>
      <c r="H29" s="92"/>
      <c r="I29" s="32"/>
    </row>
    <row r="30" spans="1:9" ht="12">
      <c r="A30" s="32"/>
      <c r="B30" s="38" t="s">
        <v>146</v>
      </c>
      <c r="C30" s="38" t="s">
        <v>994</v>
      </c>
      <c r="D30" s="39" t="s">
        <v>328</v>
      </c>
      <c r="E30" s="38">
        <v>1</v>
      </c>
      <c r="F30" s="38">
        <v>1</v>
      </c>
      <c r="G30" s="92"/>
      <c r="H30" s="92"/>
      <c r="I30" s="32"/>
    </row>
    <row r="31" spans="1:9" ht="12">
      <c r="A31" s="32"/>
      <c r="B31" s="38" t="s">
        <v>146</v>
      </c>
      <c r="C31" s="38" t="s">
        <v>995</v>
      </c>
      <c r="D31" s="39" t="s">
        <v>350</v>
      </c>
      <c r="E31" s="38">
        <v>2</v>
      </c>
      <c r="F31" s="38">
        <v>1</v>
      </c>
      <c r="G31" s="92"/>
      <c r="H31" s="92"/>
      <c r="I31" s="32"/>
    </row>
    <row r="32" spans="1:9" ht="12">
      <c r="A32" s="32"/>
      <c r="B32" s="38" t="s">
        <v>360</v>
      </c>
      <c r="C32" s="38" t="s">
        <v>996</v>
      </c>
      <c r="D32" s="39" t="s">
        <v>363</v>
      </c>
      <c r="E32" s="38">
        <v>1</v>
      </c>
      <c r="F32" s="38">
        <v>1</v>
      </c>
      <c r="G32" s="92"/>
      <c r="H32" s="92"/>
      <c r="I32" s="32"/>
    </row>
    <row r="33" spans="1:9" ht="12">
      <c r="A33" s="32"/>
      <c r="B33" s="38" t="s">
        <v>360</v>
      </c>
      <c r="C33" s="38" t="s">
        <v>997</v>
      </c>
      <c r="D33" s="39" t="s">
        <v>374</v>
      </c>
      <c r="E33" s="38">
        <v>2</v>
      </c>
      <c r="F33" s="38">
        <v>1</v>
      </c>
      <c r="G33" s="92"/>
      <c r="H33" s="92"/>
      <c r="I33" s="32"/>
    </row>
    <row r="34" spans="1:9" ht="12">
      <c r="A34" s="32"/>
      <c r="B34" s="38" t="s">
        <v>360</v>
      </c>
      <c r="C34" s="38" t="s">
        <v>998</v>
      </c>
      <c r="D34" s="39" t="s">
        <v>397</v>
      </c>
      <c r="E34" s="38">
        <v>3</v>
      </c>
      <c r="F34" s="38">
        <v>1</v>
      </c>
      <c r="G34" s="92"/>
      <c r="H34" s="92"/>
      <c r="I34" s="32"/>
    </row>
    <row r="35" spans="1:9" ht="12">
      <c r="A35" s="32"/>
      <c r="B35" s="103"/>
      <c r="C35" s="103"/>
      <c r="D35" s="104"/>
      <c r="E35" s="103"/>
      <c r="F35" s="103"/>
      <c r="G35" s="32"/>
      <c r="H35" s="32"/>
      <c r="I35" s="32"/>
    </row>
    <row r="36" spans="1:9" ht="12">
      <c r="A36" s="32"/>
      <c r="B36" s="103"/>
      <c r="C36" s="103"/>
      <c r="D36" s="104"/>
      <c r="E36" s="103"/>
      <c r="F36" s="103"/>
      <c r="G36" s="32"/>
      <c r="H36" s="32"/>
      <c r="I36" s="32"/>
    </row>
    <row r="37" spans="1:9" ht="12">
      <c r="A37" s="32"/>
      <c r="B37" s="108" t="s">
        <v>999</v>
      </c>
      <c r="C37" s="103"/>
      <c r="D37" s="104"/>
      <c r="E37" s="103"/>
      <c r="F37" s="103"/>
      <c r="G37" s="32"/>
      <c r="H37" s="32"/>
      <c r="I37" s="32"/>
    </row>
    <row r="38" spans="1:9" ht="14.25">
      <c r="A38" s="32"/>
      <c r="B38" s="101" t="s">
        <v>925</v>
      </c>
      <c r="C38" s="101" t="s">
        <v>1</v>
      </c>
      <c r="D38" s="102" t="s">
        <v>926</v>
      </c>
      <c r="E38" s="101" t="s">
        <v>927</v>
      </c>
      <c r="F38" s="101" t="s">
        <v>928</v>
      </c>
      <c r="G38"/>
      <c r="H38"/>
      <c r="I38" s="32"/>
    </row>
    <row r="39" spans="1:9" ht="14.25">
      <c r="A39" s="32"/>
      <c r="B39" s="38" t="s">
        <v>931</v>
      </c>
      <c r="C39" s="38" t="s">
        <v>932</v>
      </c>
      <c r="D39" s="39" t="s">
        <v>933</v>
      </c>
      <c r="E39" s="38"/>
      <c r="F39" s="38">
        <v>1</v>
      </c>
      <c r="G39"/>
      <c r="H39"/>
      <c r="I39" s="32"/>
    </row>
    <row r="40" spans="1:9" ht="14.25">
      <c r="A40" s="32"/>
      <c r="B40" s="38" t="s">
        <v>934</v>
      </c>
      <c r="C40" s="38" t="s">
        <v>935</v>
      </c>
      <c r="D40" s="39" t="s">
        <v>936</v>
      </c>
      <c r="E40" s="38"/>
      <c r="F40" s="38">
        <v>1</v>
      </c>
      <c r="G40"/>
      <c r="H40"/>
      <c r="I40" s="32"/>
    </row>
    <row r="41" spans="1:9" ht="14.25">
      <c r="A41" s="32"/>
      <c r="B41" s="38" t="s">
        <v>937</v>
      </c>
      <c r="C41" s="38" t="s">
        <v>938</v>
      </c>
      <c r="D41" s="39" t="s">
        <v>939</v>
      </c>
      <c r="E41" s="38"/>
      <c r="F41" s="38">
        <v>1</v>
      </c>
      <c r="G41"/>
      <c r="H41"/>
      <c r="I41" s="32"/>
    </row>
    <row r="42" spans="1:9" ht="14.25">
      <c r="A42" s="32"/>
      <c r="B42" s="38" t="s">
        <v>940</v>
      </c>
      <c r="C42" s="38" t="s">
        <v>941</v>
      </c>
      <c r="D42" s="39" t="s">
        <v>942</v>
      </c>
      <c r="E42" s="38"/>
      <c r="F42" s="38">
        <v>1</v>
      </c>
      <c r="G42"/>
      <c r="H42"/>
      <c r="I42" s="32"/>
    </row>
    <row r="43" spans="1:9" ht="14.25">
      <c r="A43" s="32"/>
      <c r="B43" s="38" t="s">
        <v>943</v>
      </c>
      <c r="C43" s="38" t="s">
        <v>944</v>
      </c>
      <c r="D43" s="39" t="s">
        <v>945</v>
      </c>
      <c r="E43" s="38"/>
      <c r="F43" s="38">
        <v>2</v>
      </c>
      <c r="G43"/>
      <c r="H43"/>
      <c r="I43" s="32"/>
    </row>
    <row r="44" spans="1:9" ht="14.25">
      <c r="A44" s="32"/>
      <c r="B44" s="38" t="s">
        <v>946</v>
      </c>
      <c r="C44" s="38" t="s">
        <v>947</v>
      </c>
      <c r="D44" s="39" t="s">
        <v>948</v>
      </c>
      <c r="E44" s="38"/>
      <c r="F44" s="38">
        <v>2</v>
      </c>
      <c r="G44"/>
      <c r="H44"/>
      <c r="I44" s="32"/>
    </row>
    <row r="45" spans="1:9" ht="14.25">
      <c r="A45" s="32"/>
      <c r="B45" s="38" t="s">
        <v>949</v>
      </c>
      <c r="C45" s="38" t="s">
        <v>950</v>
      </c>
      <c r="D45" s="39" t="s">
        <v>951</v>
      </c>
      <c r="E45" s="38"/>
      <c r="F45" s="38">
        <v>2</v>
      </c>
      <c r="G45"/>
      <c r="H45"/>
      <c r="I45" s="32"/>
    </row>
    <row r="46" spans="1:9" ht="14.25">
      <c r="A46" s="32"/>
      <c r="B46" s="38" t="s">
        <v>952</v>
      </c>
      <c r="C46" s="38" t="s">
        <v>953</v>
      </c>
      <c r="D46" s="39" t="s">
        <v>954</v>
      </c>
      <c r="E46" s="38"/>
      <c r="F46" s="38">
        <v>1</v>
      </c>
      <c r="G46"/>
      <c r="H46"/>
      <c r="I46" s="32"/>
    </row>
    <row r="47" spans="1:9" ht="14.25">
      <c r="A47" s="32"/>
      <c r="B47" s="38" t="s">
        <v>952</v>
      </c>
      <c r="C47" s="38" t="s">
        <v>955</v>
      </c>
      <c r="D47" s="39" t="s">
        <v>956</v>
      </c>
      <c r="E47" s="38"/>
      <c r="F47" s="38">
        <v>1</v>
      </c>
      <c r="G47"/>
      <c r="H47"/>
      <c r="I47" s="32"/>
    </row>
    <row r="48" spans="1:9" ht="14.25">
      <c r="A48" s="32"/>
      <c r="B48" s="38" t="s">
        <v>957</v>
      </c>
      <c r="C48" s="38" t="s">
        <v>958</v>
      </c>
      <c r="D48" s="39" t="s">
        <v>959</v>
      </c>
      <c r="E48" s="38"/>
      <c r="F48" s="38">
        <v>1</v>
      </c>
      <c r="G48"/>
      <c r="H48"/>
      <c r="I48" s="32"/>
    </row>
    <row r="49" spans="1:9" ht="14.25">
      <c r="A49" s="32"/>
      <c r="B49" s="38" t="s">
        <v>960</v>
      </c>
      <c r="C49" s="38" t="s">
        <v>961</v>
      </c>
      <c r="D49" s="39" t="s">
        <v>962</v>
      </c>
      <c r="E49" s="38"/>
      <c r="F49" s="38">
        <v>2</v>
      </c>
      <c r="G49"/>
      <c r="H49"/>
      <c r="I49" s="32"/>
    </row>
    <row r="50" spans="1:9" ht="14.25">
      <c r="A50" s="32"/>
      <c r="B50" s="38" t="s">
        <v>963</v>
      </c>
      <c r="C50" s="38" t="s">
        <v>964</v>
      </c>
      <c r="D50" s="39" t="s">
        <v>965</v>
      </c>
      <c r="E50" s="38"/>
      <c r="F50" s="38">
        <v>1</v>
      </c>
      <c r="G50"/>
      <c r="H50"/>
      <c r="I50" s="32"/>
    </row>
    <row r="51" spans="1:9" ht="14.25">
      <c r="A51" s="32"/>
      <c r="B51" s="38" t="s">
        <v>940</v>
      </c>
      <c r="C51" s="38" t="s">
        <v>966</v>
      </c>
      <c r="D51" s="39" t="s">
        <v>967</v>
      </c>
      <c r="E51" s="38"/>
      <c r="F51" s="38">
        <v>1</v>
      </c>
      <c r="G51"/>
      <c r="H51"/>
      <c r="I51" s="32"/>
    </row>
    <row r="52" spans="1:9" ht="14.25">
      <c r="A52" s="32"/>
      <c r="B52" s="38" t="s">
        <v>968</v>
      </c>
      <c r="C52" s="38" t="s">
        <v>969</v>
      </c>
      <c r="D52" s="39" t="s">
        <v>970</v>
      </c>
      <c r="E52" s="38"/>
      <c r="F52" s="38">
        <v>1</v>
      </c>
      <c r="G52"/>
      <c r="H52"/>
      <c r="I52" s="32"/>
    </row>
    <row r="53" spans="1:9" ht="14.25">
      <c r="A53" s="32"/>
      <c r="B53" s="38" t="s">
        <v>968</v>
      </c>
      <c r="C53" s="38" t="s">
        <v>971</v>
      </c>
      <c r="D53" s="39" t="s">
        <v>972</v>
      </c>
      <c r="E53" s="38"/>
      <c r="F53" s="38">
        <v>1</v>
      </c>
      <c r="G53"/>
      <c r="H53"/>
      <c r="I53" s="32"/>
    </row>
    <row r="54" spans="1:9" ht="14.25">
      <c r="A54" s="32"/>
      <c r="B54" s="38" t="s">
        <v>968</v>
      </c>
      <c r="C54" s="38" t="s">
        <v>973</v>
      </c>
      <c r="D54" s="39" t="s">
        <v>974</v>
      </c>
      <c r="E54" s="38"/>
      <c r="F54" s="38">
        <v>1</v>
      </c>
      <c r="G54"/>
      <c r="H54"/>
      <c r="I54" s="32"/>
    </row>
    <row r="55" spans="1:9" ht="14.25">
      <c r="A55" s="32"/>
      <c r="B55" s="38" t="s">
        <v>968</v>
      </c>
      <c r="C55" s="38" t="s">
        <v>975</v>
      </c>
      <c r="D55" s="39" t="s">
        <v>976</v>
      </c>
      <c r="E55" s="38"/>
      <c r="F55" s="38">
        <v>1</v>
      </c>
      <c r="G55"/>
      <c r="H55"/>
      <c r="I55" s="32"/>
    </row>
    <row r="56" spans="1:9" ht="14.25">
      <c r="A56" s="32"/>
      <c r="B56" s="38" t="s">
        <v>977</v>
      </c>
      <c r="C56" s="38" t="s">
        <v>978</v>
      </c>
      <c r="D56" s="39" t="s">
        <v>979</v>
      </c>
      <c r="E56" s="38"/>
      <c r="F56" s="38">
        <v>4</v>
      </c>
      <c r="G56"/>
      <c r="H56"/>
      <c r="I56" s="32"/>
    </row>
    <row r="57" spans="1:9" ht="14.25">
      <c r="A57" s="32"/>
      <c r="B57" s="38" t="s">
        <v>980</v>
      </c>
      <c r="C57" s="38" t="s">
        <v>981</v>
      </c>
      <c r="D57" s="39" t="s">
        <v>982</v>
      </c>
      <c r="E57" s="38"/>
      <c r="F57" s="38">
        <v>2</v>
      </c>
      <c r="G57"/>
      <c r="H57"/>
      <c r="I57" s="32"/>
    </row>
    <row r="58" spans="1:9" ht="14.25">
      <c r="A58" s="32"/>
      <c r="B58" s="38" t="s">
        <v>968</v>
      </c>
      <c r="C58" s="38" t="s">
        <v>985</v>
      </c>
      <c r="D58" s="39" t="s">
        <v>986</v>
      </c>
      <c r="E58" s="38"/>
      <c r="F58" s="38">
        <v>2</v>
      </c>
      <c r="G58"/>
      <c r="H58"/>
      <c r="I58" s="32"/>
    </row>
    <row r="59" spans="1:9" ht="14.25">
      <c r="A59" s="32"/>
      <c r="B59" s="38" t="s">
        <v>103</v>
      </c>
      <c r="C59" s="38" t="s">
        <v>104</v>
      </c>
      <c r="D59" s="39" t="s">
        <v>107</v>
      </c>
      <c r="E59" s="38">
        <v>5</v>
      </c>
      <c r="F59" s="38">
        <v>1</v>
      </c>
      <c r="G59"/>
      <c r="H59"/>
      <c r="I59" s="32"/>
    </row>
    <row r="60" spans="1:9" ht="14.25">
      <c r="A60" s="32"/>
      <c r="B60" s="38" t="s">
        <v>103</v>
      </c>
      <c r="C60" s="38" t="s">
        <v>111</v>
      </c>
      <c r="D60" s="39" t="s">
        <v>113</v>
      </c>
      <c r="E60" s="38">
        <v>8</v>
      </c>
      <c r="F60" s="38">
        <v>1</v>
      </c>
      <c r="G60"/>
      <c r="H60"/>
      <c r="I60" s="32"/>
    </row>
    <row r="61" spans="1:9" ht="14.25">
      <c r="A61" s="32"/>
      <c r="B61" s="38" t="s">
        <v>103</v>
      </c>
      <c r="C61" s="38" t="s">
        <v>993</v>
      </c>
      <c r="D61" s="39" t="s">
        <v>131</v>
      </c>
      <c r="E61" s="38">
        <v>11</v>
      </c>
      <c r="F61" s="38">
        <v>1</v>
      </c>
      <c r="G61"/>
      <c r="H61"/>
      <c r="I61" s="32"/>
    </row>
    <row r="62" spans="1:9" ht="14.25">
      <c r="A62" s="32"/>
      <c r="B62" s="38" t="s">
        <v>1000</v>
      </c>
      <c r="C62" s="38" t="s">
        <v>326</v>
      </c>
      <c r="D62" s="39" t="s">
        <v>328</v>
      </c>
      <c r="E62" s="38">
        <v>1</v>
      </c>
      <c r="F62" s="38">
        <v>1</v>
      </c>
      <c r="G62"/>
      <c r="H62"/>
      <c r="I62" s="32"/>
    </row>
    <row r="63" spans="1:9" ht="14.25">
      <c r="A63" s="32"/>
      <c r="B63" s="38" t="s">
        <v>1000</v>
      </c>
      <c r="C63" s="38" t="s">
        <v>244</v>
      </c>
      <c r="D63" s="39" t="s">
        <v>246</v>
      </c>
      <c r="E63" s="38">
        <v>2</v>
      </c>
      <c r="F63" s="38">
        <v>1</v>
      </c>
      <c r="G63"/>
      <c r="H63"/>
      <c r="I63" s="32"/>
    </row>
    <row r="64" spans="1:9" ht="14.25">
      <c r="A64" s="32"/>
      <c r="B64" s="38" t="s">
        <v>146</v>
      </c>
      <c r="C64" s="38" t="s">
        <v>216</v>
      </c>
      <c r="D64" s="39" t="s">
        <v>217</v>
      </c>
      <c r="E64" s="38">
        <v>5</v>
      </c>
      <c r="F64" s="38">
        <v>1</v>
      </c>
      <c r="G64"/>
      <c r="H64"/>
      <c r="I64" s="32"/>
    </row>
    <row r="65" spans="1:9" ht="14.25">
      <c r="A65" s="32"/>
      <c r="B65" s="38" t="s">
        <v>146</v>
      </c>
      <c r="C65" s="38" t="s">
        <v>277</v>
      </c>
      <c r="D65" s="39" t="s">
        <v>279</v>
      </c>
      <c r="E65" s="38">
        <v>7</v>
      </c>
      <c r="F65" s="38">
        <v>1</v>
      </c>
      <c r="G65"/>
      <c r="H65"/>
      <c r="I65" s="32"/>
    </row>
    <row r="66" spans="1:9" ht="14.25">
      <c r="A66" s="32"/>
      <c r="B66" s="38" t="s">
        <v>146</v>
      </c>
      <c r="C66" s="38" t="s">
        <v>307</v>
      </c>
      <c r="D66" s="39" t="s">
        <v>309</v>
      </c>
      <c r="E66" s="38">
        <v>3</v>
      </c>
      <c r="F66" s="38">
        <v>1</v>
      </c>
      <c r="G66"/>
      <c r="H66"/>
      <c r="I66" s="32"/>
    </row>
    <row r="67" spans="1:9" ht="14.25">
      <c r="A67" s="32"/>
      <c r="B67" s="38" t="s">
        <v>360</v>
      </c>
      <c r="C67" s="38" t="s">
        <v>361</v>
      </c>
      <c r="D67" s="39" t="s">
        <v>363</v>
      </c>
      <c r="E67" s="38">
        <v>2</v>
      </c>
      <c r="F67" s="38">
        <v>1</v>
      </c>
      <c r="G67"/>
      <c r="H67"/>
      <c r="I67" s="32"/>
    </row>
    <row r="68" spans="1:9" ht="12">
      <c r="A68" s="32"/>
      <c r="B68" s="32"/>
      <c r="C68" s="32"/>
      <c r="D68" s="32"/>
      <c r="E68" s="32"/>
      <c r="F68" s="32"/>
      <c r="G68" s="32"/>
      <c r="H68" s="32"/>
      <c r="I68" s="32"/>
    </row>
    <row r="69" spans="1:9" ht="12">
      <c r="A69" s="32"/>
      <c r="B69" s="108" t="s">
        <v>1001</v>
      </c>
      <c r="C69" s="32"/>
      <c r="D69" s="91"/>
      <c r="E69" s="32"/>
      <c r="F69" s="32"/>
      <c r="G69" s="32"/>
      <c r="H69" s="32"/>
      <c r="I69" s="32"/>
    </row>
    <row r="70" spans="1:9" ht="14.25">
      <c r="A70" s="32"/>
      <c r="B70" s="101" t="s">
        <v>925</v>
      </c>
      <c r="C70" s="101" t="s">
        <v>1</v>
      </c>
      <c r="D70" s="102" t="s">
        <v>926</v>
      </c>
      <c r="E70" s="101" t="s">
        <v>927</v>
      </c>
      <c r="F70" s="101" t="s">
        <v>928</v>
      </c>
      <c r="G70"/>
      <c r="H70"/>
      <c r="I70" s="32"/>
    </row>
    <row r="71" spans="1:9" ht="14.25">
      <c r="A71" s="32"/>
      <c r="B71" s="38" t="s">
        <v>931</v>
      </c>
      <c r="C71" s="38" t="s">
        <v>932</v>
      </c>
      <c r="D71" s="39" t="s">
        <v>933</v>
      </c>
      <c r="E71" s="38"/>
      <c r="F71" s="38">
        <v>1</v>
      </c>
      <c r="G71"/>
      <c r="H71"/>
      <c r="I71" s="32"/>
    </row>
    <row r="72" spans="1:9" ht="14.25">
      <c r="A72" s="32"/>
      <c r="B72" s="38" t="s">
        <v>934</v>
      </c>
      <c r="C72" s="38" t="s">
        <v>935</v>
      </c>
      <c r="D72" s="39" t="s">
        <v>936</v>
      </c>
      <c r="E72" s="38"/>
      <c r="F72" s="38">
        <v>1</v>
      </c>
      <c r="G72"/>
      <c r="H72"/>
      <c r="I72" s="32"/>
    </row>
    <row r="73" spans="1:9" ht="14.25">
      <c r="A73" s="32"/>
      <c r="B73" s="38" t="s">
        <v>937</v>
      </c>
      <c r="C73" s="38" t="s">
        <v>938</v>
      </c>
      <c r="D73" s="39" t="s">
        <v>939</v>
      </c>
      <c r="E73" s="38"/>
      <c r="F73" s="38">
        <v>1</v>
      </c>
      <c r="G73"/>
      <c r="H73"/>
      <c r="I73" s="32"/>
    </row>
    <row r="74" spans="1:9" ht="14.25">
      <c r="A74" s="32"/>
      <c r="B74" s="38" t="s">
        <v>940</v>
      </c>
      <c r="C74" s="38" t="s">
        <v>941</v>
      </c>
      <c r="D74" s="39" t="s">
        <v>942</v>
      </c>
      <c r="E74" s="38"/>
      <c r="F74" s="38">
        <v>1</v>
      </c>
      <c r="G74"/>
      <c r="H74"/>
      <c r="I74" s="32"/>
    </row>
    <row r="75" spans="1:9" ht="14.25">
      <c r="A75" s="32"/>
      <c r="B75" s="38" t="s">
        <v>943</v>
      </c>
      <c r="C75" s="38" t="s">
        <v>944</v>
      </c>
      <c r="D75" s="39" t="s">
        <v>945</v>
      </c>
      <c r="E75" s="38"/>
      <c r="F75" s="38">
        <v>2</v>
      </c>
      <c r="G75"/>
      <c r="H75"/>
      <c r="I75" s="32"/>
    </row>
    <row r="76" spans="1:9" ht="14.25">
      <c r="A76" s="32"/>
      <c r="B76" s="38" t="s">
        <v>946</v>
      </c>
      <c r="C76" s="38" t="s">
        <v>947</v>
      </c>
      <c r="D76" s="39" t="s">
        <v>948</v>
      </c>
      <c r="E76" s="38"/>
      <c r="F76" s="38">
        <v>2</v>
      </c>
      <c r="G76"/>
      <c r="H76"/>
      <c r="I76" s="32"/>
    </row>
    <row r="77" spans="1:9" ht="14.25">
      <c r="A77" s="32"/>
      <c r="B77" s="38" t="s">
        <v>949</v>
      </c>
      <c r="C77" s="38" t="s">
        <v>950</v>
      </c>
      <c r="D77" s="39" t="s">
        <v>951</v>
      </c>
      <c r="E77" s="38"/>
      <c r="F77" s="38">
        <v>2</v>
      </c>
      <c r="G77"/>
      <c r="H77"/>
      <c r="I77" s="32"/>
    </row>
    <row r="78" spans="1:9" ht="14.25">
      <c r="A78" s="32"/>
      <c r="B78" s="38" t="s">
        <v>952</v>
      </c>
      <c r="C78" s="38" t="s">
        <v>953</v>
      </c>
      <c r="D78" s="39" t="s">
        <v>954</v>
      </c>
      <c r="E78" s="38"/>
      <c r="F78" s="38">
        <v>1</v>
      </c>
      <c r="G78"/>
      <c r="H78"/>
      <c r="I78" s="32"/>
    </row>
    <row r="79" spans="1:9" ht="14.25">
      <c r="A79" s="32"/>
      <c r="B79" s="38" t="s">
        <v>952</v>
      </c>
      <c r="C79" s="38" t="s">
        <v>955</v>
      </c>
      <c r="D79" s="39" t="s">
        <v>956</v>
      </c>
      <c r="E79" s="38"/>
      <c r="F79" s="38">
        <v>1</v>
      </c>
      <c r="G79"/>
      <c r="H79"/>
      <c r="I79" s="32"/>
    </row>
    <row r="80" spans="1:9" ht="14.25">
      <c r="A80" s="32"/>
      <c r="B80" s="38" t="s">
        <v>957</v>
      </c>
      <c r="C80" s="38" t="s">
        <v>958</v>
      </c>
      <c r="D80" s="39" t="s">
        <v>959</v>
      </c>
      <c r="E80" s="38"/>
      <c r="F80" s="38">
        <v>1</v>
      </c>
      <c r="G80"/>
      <c r="H80"/>
      <c r="I80" s="32"/>
    </row>
    <row r="81" spans="1:9" ht="14.25">
      <c r="A81" s="32"/>
      <c r="B81" s="38" t="s">
        <v>960</v>
      </c>
      <c r="C81" s="38" t="s">
        <v>961</v>
      </c>
      <c r="D81" s="39" t="s">
        <v>962</v>
      </c>
      <c r="E81" s="38"/>
      <c r="F81" s="38">
        <v>2</v>
      </c>
      <c r="G81"/>
      <c r="H81"/>
      <c r="I81" s="32"/>
    </row>
    <row r="82" spans="1:9" ht="14.25">
      <c r="A82" s="32"/>
      <c r="B82" s="38" t="s">
        <v>963</v>
      </c>
      <c r="C82" s="38" t="s">
        <v>964</v>
      </c>
      <c r="D82" s="39" t="s">
        <v>965</v>
      </c>
      <c r="E82" s="38"/>
      <c r="F82" s="38">
        <v>1</v>
      </c>
      <c r="G82"/>
      <c r="H82"/>
      <c r="I82" s="32"/>
    </row>
    <row r="83" spans="1:9" ht="14.25">
      <c r="A83" s="32"/>
      <c r="B83" s="38" t="s">
        <v>940</v>
      </c>
      <c r="C83" s="38" t="s">
        <v>966</v>
      </c>
      <c r="D83" s="39" t="s">
        <v>967</v>
      </c>
      <c r="E83" s="38"/>
      <c r="F83" s="38">
        <v>1</v>
      </c>
      <c r="G83"/>
      <c r="H83"/>
      <c r="I83" s="32"/>
    </row>
    <row r="84" spans="1:9" ht="14.25">
      <c r="A84" s="32"/>
      <c r="B84" s="38" t="s">
        <v>968</v>
      </c>
      <c r="C84" s="38" t="s">
        <v>969</v>
      </c>
      <c r="D84" s="39" t="s">
        <v>970</v>
      </c>
      <c r="E84" s="38"/>
      <c r="F84" s="38">
        <v>1</v>
      </c>
      <c r="G84"/>
      <c r="H84"/>
      <c r="I84" s="32"/>
    </row>
    <row r="85" spans="1:9" ht="14.25">
      <c r="A85" s="32"/>
      <c r="B85" s="38" t="s">
        <v>968</v>
      </c>
      <c r="C85" s="38" t="s">
        <v>971</v>
      </c>
      <c r="D85" s="39" t="s">
        <v>972</v>
      </c>
      <c r="E85" s="38"/>
      <c r="F85" s="38">
        <v>1</v>
      </c>
      <c r="G85"/>
      <c r="H85"/>
      <c r="I85" s="32"/>
    </row>
    <row r="86" spans="1:9" ht="14.25">
      <c r="A86" s="32"/>
      <c r="B86" s="38" t="s">
        <v>968</v>
      </c>
      <c r="C86" s="38" t="s">
        <v>973</v>
      </c>
      <c r="D86" s="39" t="s">
        <v>974</v>
      </c>
      <c r="E86" s="38"/>
      <c r="F86" s="38">
        <v>1</v>
      </c>
      <c r="G86"/>
      <c r="H86"/>
      <c r="I86" s="32"/>
    </row>
    <row r="87" spans="1:9" ht="14.25">
      <c r="A87" s="32"/>
      <c r="B87" s="38" t="s">
        <v>968</v>
      </c>
      <c r="C87" s="38" t="s">
        <v>975</v>
      </c>
      <c r="D87" s="39" t="s">
        <v>976</v>
      </c>
      <c r="E87" s="38"/>
      <c r="F87" s="38">
        <v>1</v>
      </c>
      <c r="G87"/>
      <c r="H87"/>
      <c r="I87" s="32"/>
    </row>
    <row r="88" spans="1:9" ht="14.25">
      <c r="A88" s="32"/>
      <c r="B88" s="38" t="s">
        <v>977</v>
      </c>
      <c r="C88" s="38" t="s">
        <v>978</v>
      </c>
      <c r="D88" s="39" t="s">
        <v>979</v>
      </c>
      <c r="E88" s="38"/>
      <c r="F88" s="38">
        <v>4</v>
      </c>
      <c r="G88"/>
      <c r="H88"/>
      <c r="I88" s="32"/>
    </row>
    <row r="89" spans="1:9" ht="14.25">
      <c r="A89" s="32"/>
      <c r="B89" s="38" t="s">
        <v>980</v>
      </c>
      <c r="C89" s="38" t="s">
        <v>981</v>
      </c>
      <c r="D89" s="39" t="s">
        <v>982</v>
      </c>
      <c r="E89" s="38"/>
      <c r="F89" s="38">
        <v>2</v>
      </c>
      <c r="G89"/>
      <c r="H89"/>
      <c r="I89" s="32"/>
    </row>
    <row r="90" spans="1:9" ht="14.25">
      <c r="A90" s="32"/>
      <c r="B90" s="38" t="s">
        <v>968</v>
      </c>
      <c r="C90" s="38" t="s">
        <v>985</v>
      </c>
      <c r="D90" s="39" t="s">
        <v>986</v>
      </c>
      <c r="E90" s="38"/>
      <c r="F90" s="38">
        <v>2</v>
      </c>
      <c r="G90"/>
      <c r="H90"/>
      <c r="I90" s="32"/>
    </row>
    <row r="91" spans="1:9" ht="14.25">
      <c r="A91" s="32"/>
      <c r="B91" s="38" t="s">
        <v>1000</v>
      </c>
      <c r="C91" s="161" t="s">
        <v>269</v>
      </c>
      <c r="D91" s="39" t="s">
        <v>271</v>
      </c>
      <c r="E91" s="38">
        <v>1</v>
      </c>
      <c r="F91" s="38">
        <v>1</v>
      </c>
      <c r="G91" t="s">
        <v>1002</v>
      </c>
      <c r="H91"/>
      <c r="I91" s="32"/>
    </row>
    <row r="92" spans="1:9" ht="14.25">
      <c r="A92" s="32"/>
      <c r="B92" s="38" t="s">
        <v>1000</v>
      </c>
      <c r="C92" s="161" t="s">
        <v>348</v>
      </c>
      <c r="D92" s="39" t="s">
        <v>350</v>
      </c>
      <c r="E92" s="38">
        <v>2</v>
      </c>
      <c r="F92" s="38">
        <v>1</v>
      </c>
      <c r="G92"/>
      <c r="H92"/>
      <c r="I92" s="32"/>
    </row>
    <row r="93" spans="1:9" ht="14.25">
      <c r="A93" s="32"/>
      <c r="B93" s="38" t="s">
        <v>146</v>
      </c>
      <c r="C93" s="38" t="s">
        <v>357</v>
      </c>
      <c r="D93" s="39" t="s">
        <v>358</v>
      </c>
      <c r="E93" s="38">
        <v>5</v>
      </c>
      <c r="F93" s="38">
        <v>1</v>
      </c>
      <c r="G93" t="s">
        <v>1003</v>
      </c>
      <c r="H93"/>
      <c r="I93" s="32"/>
    </row>
    <row r="94" spans="1:9" ht="14.25">
      <c r="A94" s="32"/>
      <c r="B94" s="38" t="s">
        <v>1004</v>
      </c>
      <c r="C94" s="101" t="s">
        <v>396</v>
      </c>
      <c r="D94" s="102" t="s">
        <v>397</v>
      </c>
      <c r="E94" s="38">
        <v>8</v>
      </c>
      <c r="F94" s="38">
        <v>1</v>
      </c>
      <c r="G94"/>
      <c r="H94"/>
      <c r="I94" s="32"/>
    </row>
    <row r="95" spans="1:9" ht="14.25">
      <c r="A95" s="32"/>
      <c r="B95" s="158" t="s">
        <v>146</v>
      </c>
      <c r="C95" s="162" t="s">
        <v>296</v>
      </c>
      <c r="D95" s="164" t="s">
        <v>298</v>
      </c>
      <c r="E95" s="159">
        <v>7</v>
      </c>
      <c r="F95" s="38">
        <v>1</v>
      </c>
      <c r="G95"/>
      <c r="H95"/>
      <c r="I95" s="32"/>
    </row>
    <row r="96" spans="1:9" ht="14.25">
      <c r="A96" s="32"/>
      <c r="B96" s="38" t="s">
        <v>146</v>
      </c>
      <c r="C96" s="163" t="s">
        <v>352</v>
      </c>
      <c r="D96" s="160" t="s">
        <v>354</v>
      </c>
      <c r="E96" s="38">
        <v>3</v>
      </c>
      <c r="F96" s="38">
        <v>1</v>
      </c>
      <c r="G96" t="s">
        <v>1003</v>
      </c>
      <c r="H96"/>
      <c r="I96" s="32"/>
    </row>
    <row r="97" spans="1:9" ht="14.25">
      <c r="A97" s="32"/>
      <c r="B97" s="38" t="s">
        <v>1004</v>
      </c>
      <c r="C97" s="38" t="s">
        <v>386</v>
      </c>
      <c r="D97" s="39" t="s">
        <v>388</v>
      </c>
      <c r="E97" s="38">
        <v>1</v>
      </c>
      <c r="F97" s="38">
        <v>1</v>
      </c>
      <c r="G97"/>
      <c r="H97"/>
      <c r="I97" s="32"/>
    </row>
    <row r="98" spans="1:9" ht="14.25">
      <c r="A98" s="32"/>
      <c r="B98" s="38" t="s">
        <v>360</v>
      </c>
      <c r="C98" s="38" t="s">
        <v>361</v>
      </c>
      <c r="D98" s="39" t="s">
        <v>363</v>
      </c>
      <c r="E98" s="38">
        <v>2</v>
      </c>
      <c r="F98" s="38">
        <v>1</v>
      </c>
      <c r="G98"/>
      <c r="H98"/>
      <c r="I98" s="32"/>
    </row>
    <row r="99" spans="1:9">
      <c r="A99" s="32"/>
      <c r="B99" s="32"/>
      <c r="C99" s="32"/>
      <c r="D99" s="32"/>
      <c r="E99" s="32"/>
      <c r="F99" s="32"/>
      <c r="G99" s="32"/>
      <c r="H99" s="32"/>
      <c r="I99" s="32"/>
    </row>
    <row r="100" spans="1:9">
      <c r="A100" s="32"/>
      <c r="B100" s="32"/>
      <c r="C100" s="32"/>
      <c r="D100" s="32"/>
      <c r="E100" s="32"/>
      <c r="F100" s="32"/>
      <c r="G100" s="32"/>
      <c r="H100" s="32"/>
      <c r="I100" s="32"/>
    </row>
    <row r="101" spans="1:9" ht="12">
      <c r="A101" s="32"/>
      <c r="B101" s="108" t="s">
        <v>1005</v>
      </c>
      <c r="C101" s="32"/>
      <c r="D101" s="91"/>
      <c r="E101" s="32"/>
      <c r="F101" s="32"/>
      <c r="G101" s="32"/>
      <c r="H101" s="32"/>
      <c r="I101" s="32"/>
    </row>
    <row r="102" spans="1:9" ht="14.25">
      <c r="A102" s="32"/>
      <c r="B102" s="101" t="s">
        <v>925</v>
      </c>
      <c r="C102" s="101" t="s">
        <v>1</v>
      </c>
      <c r="D102" s="102" t="s">
        <v>926</v>
      </c>
      <c r="E102" s="101" t="s">
        <v>927</v>
      </c>
      <c r="F102" s="101" t="s">
        <v>928</v>
      </c>
      <c r="G102"/>
      <c r="H102"/>
      <c r="I102" s="32"/>
    </row>
    <row r="103" spans="1:9" ht="14.25">
      <c r="A103" s="32"/>
      <c r="B103" s="38" t="s">
        <v>931</v>
      </c>
      <c r="C103" s="38" t="s">
        <v>932</v>
      </c>
      <c r="D103" s="39" t="s">
        <v>933</v>
      </c>
      <c r="E103" s="38"/>
      <c r="F103" s="38">
        <v>1</v>
      </c>
      <c r="G103"/>
      <c r="H103"/>
      <c r="I103" s="32"/>
    </row>
    <row r="104" spans="1:9" ht="14.25">
      <c r="A104" s="32"/>
      <c r="B104" s="38" t="s">
        <v>934</v>
      </c>
      <c r="C104" s="38" t="s">
        <v>935</v>
      </c>
      <c r="D104" s="39" t="s">
        <v>936</v>
      </c>
      <c r="E104" s="38"/>
      <c r="F104" s="38">
        <v>1</v>
      </c>
      <c r="G104"/>
      <c r="H104"/>
      <c r="I104" s="32"/>
    </row>
    <row r="105" spans="1:9" ht="14.25">
      <c r="A105" s="32"/>
      <c r="B105" s="38" t="s">
        <v>937</v>
      </c>
      <c r="C105" s="38" t="s">
        <v>938</v>
      </c>
      <c r="D105" s="39" t="s">
        <v>939</v>
      </c>
      <c r="E105" s="38"/>
      <c r="F105" s="38">
        <v>1</v>
      </c>
      <c r="G105"/>
      <c r="H105"/>
      <c r="I105" s="32"/>
    </row>
    <row r="106" spans="1:9" ht="14.25">
      <c r="A106" s="32"/>
      <c r="B106" s="38" t="s">
        <v>940</v>
      </c>
      <c r="C106" s="38" t="s">
        <v>941</v>
      </c>
      <c r="D106" s="39" t="s">
        <v>942</v>
      </c>
      <c r="E106" s="38"/>
      <c r="F106" s="38">
        <v>1</v>
      </c>
      <c r="G106"/>
      <c r="H106"/>
      <c r="I106" s="32"/>
    </row>
    <row r="107" spans="1:9" ht="14.25">
      <c r="A107" s="32"/>
      <c r="B107" s="38" t="s">
        <v>943</v>
      </c>
      <c r="C107" s="38" t="s">
        <v>944</v>
      </c>
      <c r="D107" s="39" t="s">
        <v>945</v>
      </c>
      <c r="E107" s="38"/>
      <c r="F107" s="38">
        <v>2</v>
      </c>
      <c r="G107"/>
      <c r="H107"/>
      <c r="I107" s="32"/>
    </row>
    <row r="108" spans="1:9" ht="14.25">
      <c r="A108" s="32"/>
      <c r="B108" s="38" t="s">
        <v>946</v>
      </c>
      <c r="C108" s="38" t="s">
        <v>947</v>
      </c>
      <c r="D108" s="39" t="s">
        <v>948</v>
      </c>
      <c r="E108" s="38"/>
      <c r="F108" s="38">
        <v>2</v>
      </c>
      <c r="G108"/>
      <c r="H108"/>
      <c r="I108" s="32"/>
    </row>
    <row r="109" spans="1:9" ht="14.25">
      <c r="A109" s="32"/>
      <c r="B109" s="38" t="s">
        <v>949</v>
      </c>
      <c r="C109" s="38" t="s">
        <v>950</v>
      </c>
      <c r="D109" s="39" t="s">
        <v>951</v>
      </c>
      <c r="E109" s="38"/>
      <c r="F109" s="38">
        <v>2</v>
      </c>
      <c r="G109"/>
      <c r="H109"/>
      <c r="I109" s="32"/>
    </row>
    <row r="110" spans="1:9" ht="14.25">
      <c r="A110" s="32"/>
      <c r="B110" s="38" t="s">
        <v>952</v>
      </c>
      <c r="C110" s="38" t="s">
        <v>953</v>
      </c>
      <c r="D110" s="39" t="s">
        <v>954</v>
      </c>
      <c r="E110" s="38"/>
      <c r="F110" s="38">
        <v>1</v>
      </c>
      <c r="G110"/>
      <c r="H110"/>
      <c r="I110" s="32"/>
    </row>
    <row r="111" spans="1:9" ht="14.25">
      <c r="A111" s="32"/>
      <c r="B111" s="38" t="s">
        <v>952</v>
      </c>
      <c r="C111" s="38" t="s">
        <v>955</v>
      </c>
      <c r="D111" s="39" t="s">
        <v>956</v>
      </c>
      <c r="E111" s="38"/>
      <c r="F111" s="38">
        <v>1</v>
      </c>
      <c r="G111"/>
      <c r="H111"/>
      <c r="I111" s="32"/>
    </row>
    <row r="112" spans="1:9" ht="14.25">
      <c r="A112" s="32"/>
      <c r="B112" s="38" t="s">
        <v>957</v>
      </c>
      <c r="C112" s="38" t="s">
        <v>958</v>
      </c>
      <c r="D112" s="39" t="s">
        <v>959</v>
      </c>
      <c r="E112" s="38"/>
      <c r="F112" s="38">
        <v>1</v>
      </c>
      <c r="G112"/>
      <c r="H112"/>
      <c r="I112" s="32"/>
    </row>
    <row r="113" spans="1:9" ht="14.25">
      <c r="A113" s="32"/>
      <c r="B113" s="38" t="s">
        <v>960</v>
      </c>
      <c r="C113" s="38" t="s">
        <v>961</v>
      </c>
      <c r="D113" s="39" t="s">
        <v>962</v>
      </c>
      <c r="E113" s="38"/>
      <c r="F113" s="38">
        <v>2</v>
      </c>
      <c r="G113"/>
      <c r="H113"/>
      <c r="I113" s="32"/>
    </row>
    <row r="114" spans="1:9" ht="14.25">
      <c r="A114" s="32"/>
      <c r="B114" s="38" t="s">
        <v>963</v>
      </c>
      <c r="C114" s="38" t="s">
        <v>964</v>
      </c>
      <c r="D114" s="39" t="s">
        <v>965</v>
      </c>
      <c r="E114" s="38"/>
      <c r="F114" s="38">
        <v>1</v>
      </c>
      <c r="G114"/>
      <c r="H114"/>
      <c r="I114" s="32"/>
    </row>
    <row r="115" spans="1:9" ht="14.25">
      <c r="A115" s="32"/>
      <c r="B115" s="38" t="s">
        <v>940</v>
      </c>
      <c r="C115" s="38" t="s">
        <v>966</v>
      </c>
      <c r="D115" s="39" t="s">
        <v>967</v>
      </c>
      <c r="E115" s="38"/>
      <c r="F115" s="38">
        <v>1</v>
      </c>
      <c r="G115"/>
      <c r="H115"/>
      <c r="I115" s="32"/>
    </row>
    <row r="116" spans="1:9" ht="14.25">
      <c r="A116" s="32"/>
      <c r="B116" s="38" t="s">
        <v>968</v>
      </c>
      <c r="C116" s="38" t="s">
        <v>969</v>
      </c>
      <c r="D116" s="39" t="s">
        <v>970</v>
      </c>
      <c r="E116" s="38"/>
      <c r="F116" s="38">
        <v>1</v>
      </c>
      <c r="G116"/>
      <c r="H116"/>
      <c r="I116" s="32"/>
    </row>
    <row r="117" spans="1:9" ht="14.25">
      <c r="A117" s="32"/>
      <c r="B117" s="38" t="s">
        <v>968</v>
      </c>
      <c r="C117" s="38" t="s">
        <v>971</v>
      </c>
      <c r="D117" s="39" t="s">
        <v>972</v>
      </c>
      <c r="E117" s="38"/>
      <c r="F117" s="38">
        <v>1</v>
      </c>
      <c r="G117"/>
      <c r="H117"/>
      <c r="I117" s="32"/>
    </row>
    <row r="118" spans="1:9" ht="14.25">
      <c r="A118" s="32"/>
      <c r="B118" s="38" t="s">
        <v>968</v>
      </c>
      <c r="C118" s="38" t="s">
        <v>973</v>
      </c>
      <c r="D118" s="39" t="s">
        <v>974</v>
      </c>
      <c r="E118" s="38"/>
      <c r="F118" s="38">
        <v>1</v>
      </c>
      <c r="G118"/>
      <c r="H118"/>
      <c r="I118" s="32"/>
    </row>
    <row r="119" spans="1:9" ht="14.25">
      <c r="A119" s="32"/>
      <c r="B119" s="38" t="s">
        <v>968</v>
      </c>
      <c r="C119" s="38" t="s">
        <v>975</v>
      </c>
      <c r="D119" s="39" t="s">
        <v>976</v>
      </c>
      <c r="E119" s="38"/>
      <c r="F119" s="38">
        <v>1</v>
      </c>
      <c r="G119"/>
      <c r="H119"/>
      <c r="I119" s="32"/>
    </row>
    <row r="120" spans="1:9" ht="14.25">
      <c r="A120" s="32"/>
      <c r="B120" s="38" t="s">
        <v>977</v>
      </c>
      <c r="C120" s="38" t="s">
        <v>978</v>
      </c>
      <c r="D120" s="39" t="s">
        <v>979</v>
      </c>
      <c r="E120" s="38"/>
      <c r="F120" s="38">
        <v>4</v>
      </c>
      <c r="G120"/>
      <c r="H120"/>
      <c r="I120" s="32"/>
    </row>
    <row r="121" spans="1:9" ht="14.25">
      <c r="A121" s="32"/>
      <c r="B121" s="38" t="s">
        <v>980</v>
      </c>
      <c r="C121" s="38" t="s">
        <v>981</v>
      </c>
      <c r="D121" s="39" t="s">
        <v>982</v>
      </c>
      <c r="E121" s="38"/>
      <c r="F121" s="38">
        <v>2</v>
      </c>
      <c r="G121"/>
      <c r="H121"/>
      <c r="I121" s="32"/>
    </row>
    <row r="122" spans="1:9" ht="14.25">
      <c r="A122" s="32"/>
      <c r="B122" s="38" t="s">
        <v>968</v>
      </c>
      <c r="C122" s="38" t="s">
        <v>985</v>
      </c>
      <c r="D122" s="39" t="s">
        <v>986</v>
      </c>
      <c r="E122" s="38"/>
      <c r="F122" s="38">
        <v>2</v>
      </c>
      <c r="G122"/>
      <c r="H122"/>
      <c r="I122" s="32"/>
    </row>
    <row r="123" spans="1:9" ht="14.25">
      <c r="A123" s="32"/>
      <c r="B123" s="38" t="s">
        <v>146</v>
      </c>
      <c r="C123" s="178" t="s">
        <v>147</v>
      </c>
      <c r="D123" s="39" t="s">
        <v>149</v>
      </c>
      <c r="E123" s="38">
        <v>8</v>
      </c>
      <c r="F123" s="38">
        <v>1</v>
      </c>
      <c r="G123" t="s">
        <v>1006</v>
      </c>
      <c r="H123"/>
      <c r="I123" s="32"/>
    </row>
    <row r="124" spans="1:9" ht="11.25" customHeight="1">
      <c r="A124" s="32"/>
      <c r="B124" s="38" t="s">
        <v>1000</v>
      </c>
      <c r="C124" s="38" t="s">
        <v>244</v>
      </c>
      <c r="D124" s="39" t="s">
        <v>246</v>
      </c>
      <c r="E124" s="38">
        <v>2</v>
      </c>
      <c r="F124" s="38">
        <v>1</v>
      </c>
      <c r="G124"/>
      <c r="H124"/>
      <c r="I124" s="32"/>
    </row>
    <row r="125" spans="1:9" ht="14.25">
      <c r="A125" s="32"/>
      <c r="B125" s="252" t="s">
        <v>1000</v>
      </c>
      <c r="C125" s="253" t="s">
        <v>227</v>
      </c>
      <c r="D125" s="254" t="s">
        <v>229</v>
      </c>
      <c r="E125" s="38">
        <v>1</v>
      </c>
      <c r="F125" s="38">
        <v>1</v>
      </c>
      <c r="G125"/>
      <c r="H125"/>
      <c r="I125" s="32"/>
    </row>
    <row r="126" spans="1:9" ht="14.25">
      <c r="A126" s="32"/>
      <c r="B126" s="101" t="s">
        <v>146</v>
      </c>
      <c r="C126" s="101" t="s">
        <v>252</v>
      </c>
      <c r="D126" s="102" t="s">
        <v>253</v>
      </c>
      <c r="E126" s="38">
        <v>4</v>
      </c>
      <c r="F126" s="38">
        <v>1</v>
      </c>
      <c r="G126" t="s">
        <v>1007</v>
      </c>
      <c r="H126"/>
      <c r="I126" s="32"/>
    </row>
    <row r="127" spans="1:9" ht="14.25">
      <c r="A127" s="32"/>
      <c r="B127" s="252" t="s">
        <v>146</v>
      </c>
      <c r="C127" s="252" t="s">
        <v>319</v>
      </c>
      <c r="D127" s="254" t="s">
        <v>321</v>
      </c>
      <c r="E127" s="159">
        <v>4</v>
      </c>
      <c r="F127" s="38">
        <v>1</v>
      </c>
      <c r="G127"/>
      <c r="H127"/>
      <c r="I127" s="32"/>
    </row>
    <row r="128" spans="1:9" ht="14.25">
      <c r="A128" s="32"/>
      <c r="B128" s="38" t="s">
        <v>146</v>
      </c>
      <c r="C128" s="177" t="s">
        <v>236</v>
      </c>
      <c r="D128" s="164" t="s">
        <v>238</v>
      </c>
      <c r="E128" s="159">
        <v>7</v>
      </c>
      <c r="F128" s="38">
        <v>1</v>
      </c>
      <c r="G128" t="s">
        <v>1006</v>
      </c>
      <c r="H128"/>
      <c r="I128" s="32"/>
    </row>
    <row r="129" spans="1:9" ht="14.25">
      <c r="A129" s="32"/>
      <c r="B129" s="38" t="s">
        <v>360</v>
      </c>
      <c r="C129" s="177" t="s">
        <v>422</v>
      </c>
      <c r="D129" s="39" t="s">
        <v>424</v>
      </c>
      <c r="E129" s="159">
        <v>1</v>
      </c>
      <c r="F129" s="38">
        <v>1</v>
      </c>
      <c r="G129"/>
      <c r="H129"/>
      <c r="I129" s="32"/>
    </row>
    <row r="130" spans="1:9" ht="14.25">
      <c r="A130" s="32"/>
      <c r="B130" s="176" t="s">
        <v>360</v>
      </c>
      <c r="C130" s="176" t="s">
        <v>427</v>
      </c>
      <c r="D130" s="160" t="s">
        <v>429</v>
      </c>
      <c r="E130" s="38">
        <v>3</v>
      </c>
      <c r="F130" s="38">
        <v>1</v>
      </c>
      <c r="G130"/>
      <c r="H130"/>
      <c r="I130" s="32"/>
    </row>
    <row r="131" spans="1:9" ht="14.25">
      <c r="A131" s="32"/>
      <c r="B131" s="38" t="s">
        <v>360</v>
      </c>
      <c r="C131" s="38" t="s">
        <v>361</v>
      </c>
      <c r="D131" s="39" t="s">
        <v>363</v>
      </c>
      <c r="E131" s="38">
        <v>2</v>
      </c>
      <c r="F131" s="38">
        <v>1</v>
      </c>
      <c r="G131"/>
      <c r="H131"/>
      <c r="I131" s="32"/>
    </row>
    <row r="132" spans="1:9" ht="14.25">
      <c r="A132" s="32"/>
      <c r="B132" s="32"/>
      <c r="C132" s="32"/>
      <c r="D132" s="91"/>
      <c r="E132" s="32"/>
      <c r="F132" s="32"/>
      <c r="G132"/>
      <c r="H132"/>
      <c r="I132" s="32"/>
    </row>
    <row r="133" spans="1:9">
      <c r="A133" s="32"/>
      <c r="B133" s="32"/>
      <c r="C133" s="32"/>
      <c r="D133" s="32"/>
      <c r="E133" s="32"/>
      <c r="F133" s="32"/>
      <c r="G133" s="32"/>
      <c r="H133" s="32"/>
      <c r="I133" s="32"/>
    </row>
    <row r="134" spans="1:9">
      <c r="A134" s="32"/>
      <c r="B134" s="32"/>
      <c r="C134" s="32"/>
      <c r="D134" s="32"/>
      <c r="E134" s="32"/>
      <c r="F134" s="32"/>
      <c r="G134" s="32"/>
      <c r="H134" s="32"/>
      <c r="I134" s="32"/>
    </row>
    <row r="135" spans="1:9">
      <c r="A135" s="32"/>
      <c r="B135" s="32"/>
      <c r="C135" s="32"/>
      <c r="D135" s="32"/>
      <c r="E135" s="32"/>
      <c r="F135" s="32"/>
      <c r="G135" s="32"/>
      <c r="H135" s="32"/>
      <c r="I135" s="32"/>
    </row>
    <row r="136" spans="1:9">
      <c r="A136" s="32"/>
      <c r="B136" s="32"/>
      <c r="C136" s="32"/>
      <c r="D136" s="32"/>
      <c r="E136" s="32"/>
      <c r="F136" s="32"/>
      <c r="G136" s="32"/>
      <c r="H136" s="32"/>
      <c r="I136" s="32"/>
    </row>
    <row r="137" spans="1:9">
      <c r="A137" s="32"/>
      <c r="B137" s="32"/>
      <c r="C137" s="32"/>
      <c r="D137" s="32"/>
      <c r="E137" s="32"/>
      <c r="F137" s="32"/>
      <c r="G137" s="32"/>
      <c r="H137" s="32"/>
      <c r="I137" s="32"/>
    </row>
    <row r="138" spans="1:9">
      <c r="A138" s="32"/>
      <c r="B138" s="32"/>
      <c r="C138" s="32"/>
      <c r="D138" s="32"/>
      <c r="E138" s="32"/>
      <c r="F138" s="32"/>
      <c r="G138" s="32"/>
      <c r="H138" s="32"/>
      <c r="I138" s="32"/>
    </row>
    <row r="139" spans="1:9" hidden="1">
      <c r="A139" s="32"/>
      <c r="B139" s="32"/>
      <c r="C139" s="32"/>
      <c r="D139" s="32"/>
      <c r="E139" s="32"/>
      <c r="F139" s="32"/>
      <c r="G139" s="32"/>
      <c r="H139" s="32"/>
      <c r="I139" s="32"/>
    </row>
    <row r="140" spans="1:9">
      <c r="A140" s="32"/>
      <c r="B140" s="32"/>
      <c r="C140" s="32"/>
      <c r="D140" s="32"/>
      <c r="E140" s="32"/>
      <c r="F140" s="32"/>
      <c r="G140" s="32"/>
      <c r="H140" s="32"/>
      <c r="I140" s="32"/>
    </row>
    <row r="141" spans="1:9">
      <c r="A141" s="32"/>
      <c r="B141" s="32"/>
      <c r="C141" s="32"/>
      <c r="D141" s="32"/>
      <c r="E141" s="32"/>
      <c r="F141" s="32"/>
      <c r="G141" s="32"/>
      <c r="H141" s="32"/>
      <c r="I141" s="32"/>
    </row>
    <row r="142" spans="1:9">
      <c r="A142" s="32"/>
      <c r="B142" s="32"/>
      <c r="C142" s="32"/>
      <c r="D142" s="32"/>
      <c r="E142" s="32"/>
      <c r="F142" s="32"/>
      <c r="G142" s="32"/>
      <c r="H142" s="32"/>
      <c r="I142" s="32"/>
    </row>
    <row r="143" spans="1:9">
      <c r="A143" s="32"/>
      <c r="B143" s="32"/>
      <c r="C143" s="32"/>
      <c r="D143" s="32"/>
      <c r="E143" s="32"/>
      <c r="F143" s="32"/>
      <c r="G143" s="32"/>
      <c r="H143" s="32"/>
      <c r="I143" s="32"/>
    </row>
    <row r="144" spans="1:9">
      <c r="A144" s="32"/>
      <c r="B144" s="32"/>
      <c r="C144" s="32"/>
      <c r="D144" s="32"/>
      <c r="E144" s="32"/>
      <c r="F144" s="32"/>
      <c r="G144" s="32"/>
      <c r="H144" s="32"/>
      <c r="I144" s="32"/>
    </row>
    <row r="145" spans="1:9">
      <c r="A145" s="32"/>
      <c r="B145" s="32"/>
      <c r="C145" s="32"/>
      <c r="D145" s="32"/>
      <c r="E145" s="32"/>
      <c r="F145" s="32"/>
      <c r="G145" s="32"/>
      <c r="H145" s="32"/>
      <c r="I145" s="32"/>
    </row>
    <row r="146" spans="1:9">
      <c r="A146" s="32"/>
      <c r="B146" s="32"/>
      <c r="C146" s="32"/>
      <c r="D146" s="32"/>
      <c r="E146" s="32"/>
      <c r="F146" s="32"/>
      <c r="G146" s="32"/>
      <c r="H146" s="32"/>
      <c r="I146" s="32"/>
    </row>
    <row r="147" spans="1:9">
      <c r="A147" s="32"/>
      <c r="B147" s="32"/>
      <c r="C147" s="32"/>
      <c r="D147" s="32"/>
      <c r="E147" s="32"/>
      <c r="F147" s="32"/>
      <c r="G147" s="32"/>
      <c r="H147" s="32"/>
      <c r="I147" s="32"/>
    </row>
    <row r="148" spans="1:9">
      <c r="A148" s="32"/>
      <c r="B148" s="32"/>
      <c r="C148" s="32"/>
      <c r="D148" s="32"/>
      <c r="E148" s="32"/>
      <c r="F148" s="32"/>
      <c r="G148" s="32"/>
      <c r="H148" s="32"/>
      <c r="I148" s="32"/>
    </row>
    <row r="149" spans="1:9" ht="12">
      <c r="A149" s="32"/>
      <c r="B149" s="105" t="s">
        <v>1008</v>
      </c>
      <c r="C149" s="32"/>
      <c r="D149" s="32"/>
      <c r="E149" s="32"/>
      <c r="F149" s="32"/>
      <c r="G149" s="32"/>
      <c r="H149" s="32"/>
      <c r="I149" s="32"/>
    </row>
    <row r="150" spans="1:9" ht="12">
      <c r="A150" s="32"/>
      <c r="B150" s="101" t="s">
        <v>925</v>
      </c>
      <c r="C150" s="101" t="s">
        <v>1</v>
      </c>
      <c r="D150" s="102" t="s">
        <v>926</v>
      </c>
      <c r="E150" s="101" t="s">
        <v>1009</v>
      </c>
      <c r="F150" s="101" t="s">
        <v>928</v>
      </c>
      <c r="G150" s="32"/>
      <c r="H150" s="32"/>
      <c r="I150" s="32"/>
    </row>
    <row r="151" spans="1:9" ht="12">
      <c r="A151" s="32"/>
      <c r="B151" s="38" t="s">
        <v>931</v>
      </c>
      <c r="C151" s="38" t="s">
        <v>932</v>
      </c>
      <c r="D151" s="39" t="s">
        <v>933</v>
      </c>
      <c r="E151" s="38"/>
      <c r="F151" s="38">
        <v>1</v>
      </c>
      <c r="G151" s="32"/>
      <c r="H151" s="32"/>
      <c r="I151" s="32"/>
    </row>
    <row r="152" spans="1:9" ht="12">
      <c r="A152" s="32"/>
      <c r="B152" s="38" t="s">
        <v>934</v>
      </c>
      <c r="C152" s="38" t="s">
        <v>935</v>
      </c>
      <c r="D152" s="39" t="s">
        <v>936</v>
      </c>
      <c r="E152" s="38"/>
      <c r="F152" s="38">
        <v>1</v>
      </c>
      <c r="G152" s="32"/>
      <c r="H152" s="32"/>
      <c r="I152" s="32"/>
    </row>
    <row r="153" spans="1:9" ht="12">
      <c r="A153" s="32"/>
      <c r="B153" s="38" t="s">
        <v>937</v>
      </c>
      <c r="C153" s="38" t="s">
        <v>938</v>
      </c>
      <c r="D153" s="39" t="s">
        <v>939</v>
      </c>
      <c r="E153" s="38"/>
      <c r="F153" s="38">
        <v>1</v>
      </c>
      <c r="G153" s="32"/>
      <c r="H153" s="32"/>
      <c r="I153" s="32"/>
    </row>
    <row r="154" spans="1:9" ht="12">
      <c r="A154" s="32"/>
      <c r="B154" s="38" t="s">
        <v>940</v>
      </c>
      <c r="C154" s="38" t="s">
        <v>941</v>
      </c>
      <c r="D154" s="39" t="s">
        <v>942</v>
      </c>
      <c r="E154" s="38"/>
      <c r="F154" s="38">
        <v>1</v>
      </c>
      <c r="G154" s="32"/>
      <c r="H154" s="32"/>
      <c r="I154" s="32"/>
    </row>
    <row r="155" spans="1:9" ht="12">
      <c r="A155" s="32"/>
      <c r="B155" s="38" t="s">
        <v>943</v>
      </c>
      <c r="C155" s="38" t="s">
        <v>944</v>
      </c>
      <c r="D155" s="39" t="s">
        <v>945</v>
      </c>
      <c r="E155" s="38"/>
      <c r="F155" s="38">
        <v>2</v>
      </c>
      <c r="G155" s="32"/>
      <c r="H155" s="32"/>
      <c r="I155" s="32"/>
    </row>
    <row r="156" spans="1:9" ht="12">
      <c r="A156" s="32"/>
      <c r="B156" s="38" t="s">
        <v>946</v>
      </c>
      <c r="C156" s="38" t="s">
        <v>947</v>
      </c>
      <c r="D156" s="39" t="s">
        <v>948</v>
      </c>
      <c r="E156" s="38"/>
      <c r="F156" s="38">
        <v>2</v>
      </c>
      <c r="G156" s="32"/>
      <c r="H156" s="32"/>
      <c r="I156" s="32"/>
    </row>
    <row r="157" spans="1:9" ht="12">
      <c r="A157" s="32"/>
      <c r="B157" s="38" t="s">
        <v>949</v>
      </c>
      <c r="C157" s="38" t="s">
        <v>950</v>
      </c>
      <c r="D157" s="39" t="s">
        <v>951</v>
      </c>
      <c r="E157" s="38"/>
      <c r="F157" s="38">
        <v>2</v>
      </c>
      <c r="G157" s="32"/>
      <c r="H157" s="32"/>
      <c r="I157" s="32"/>
    </row>
    <row r="158" spans="1:9" ht="12">
      <c r="A158" s="32"/>
      <c r="B158" s="38" t="s">
        <v>952</v>
      </c>
      <c r="C158" s="38" t="s">
        <v>953</v>
      </c>
      <c r="D158" s="39" t="s">
        <v>954</v>
      </c>
      <c r="E158" s="38"/>
      <c r="F158" s="38">
        <v>1</v>
      </c>
      <c r="G158" s="32"/>
      <c r="H158" s="32"/>
      <c r="I158" s="32"/>
    </row>
    <row r="159" spans="1:9" ht="12">
      <c r="A159" s="32"/>
      <c r="B159" s="38" t="s">
        <v>952</v>
      </c>
      <c r="C159" s="38" t="s">
        <v>955</v>
      </c>
      <c r="D159" s="39" t="s">
        <v>956</v>
      </c>
      <c r="E159" s="38"/>
      <c r="F159" s="38">
        <v>1</v>
      </c>
      <c r="G159" s="32"/>
      <c r="H159" s="32"/>
      <c r="I159" s="32"/>
    </row>
    <row r="160" spans="1:9" ht="12">
      <c r="A160" s="32"/>
      <c r="B160" s="38" t="s">
        <v>957</v>
      </c>
      <c r="C160" s="38" t="s">
        <v>958</v>
      </c>
      <c r="D160" s="39" t="s">
        <v>959</v>
      </c>
      <c r="E160" s="38"/>
      <c r="F160" s="38">
        <v>1</v>
      </c>
      <c r="G160" s="32"/>
      <c r="H160" s="32"/>
      <c r="I160" s="32"/>
    </row>
    <row r="161" spans="1:9" ht="12">
      <c r="A161" s="32"/>
      <c r="B161" s="38" t="s">
        <v>960</v>
      </c>
      <c r="C161" s="38" t="s">
        <v>961</v>
      </c>
      <c r="D161" s="39" t="s">
        <v>962</v>
      </c>
      <c r="E161" s="38"/>
      <c r="F161" s="38">
        <v>2</v>
      </c>
      <c r="G161" s="32"/>
      <c r="H161" s="32"/>
      <c r="I161" s="32"/>
    </row>
    <row r="162" spans="1:9" ht="12">
      <c r="A162" s="32"/>
      <c r="B162" s="38" t="s">
        <v>963</v>
      </c>
      <c r="C162" s="38" t="s">
        <v>964</v>
      </c>
      <c r="D162" s="39" t="s">
        <v>965</v>
      </c>
      <c r="E162" s="38"/>
      <c r="F162" s="38">
        <v>1</v>
      </c>
      <c r="G162" s="32"/>
      <c r="H162" s="32"/>
      <c r="I162" s="32"/>
    </row>
    <row r="163" spans="1:9" ht="12">
      <c r="A163" s="32"/>
      <c r="B163" s="38" t="s">
        <v>940</v>
      </c>
      <c r="C163" s="38" t="s">
        <v>966</v>
      </c>
      <c r="D163" s="39" t="s">
        <v>967</v>
      </c>
      <c r="E163" s="38"/>
      <c r="F163" s="38">
        <v>1</v>
      </c>
      <c r="G163" s="32"/>
      <c r="H163" s="32"/>
      <c r="I163" s="32"/>
    </row>
    <row r="164" spans="1:9" ht="12">
      <c r="A164" s="32"/>
      <c r="B164" s="38" t="s">
        <v>968</v>
      </c>
      <c r="C164" s="38" t="s">
        <v>969</v>
      </c>
      <c r="D164" s="39" t="s">
        <v>970</v>
      </c>
      <c r="E164" s="38"/>
      <c r="F164" s="38">
        <v>1</v>
      </c>
      <c r="G164" s="32"/>
      <c r="H164" s="32"/>
      <c r="I164" s="32"/>
    </row>
    <row r="165" spans="1:9" ht="12">
      <c r="A165" s="32"/>
      <c r="B165" s="38" t="s">
        <v>968</v>
      </c>
      <c r="C165" s="38" t="s">
        <v>971</v>
      </c>
      <c r="D165" s="39" t="s">
        <v>972</v>
      </c>
      <c r="E165" s="38"/>
      <c r="F165" s="38">
        <v>1</v>
      </c>
      <c r="G165" s="32"/>
      <c r="H165" s="32"/>
      <c r="I165" s="32"/>
    </row>
    <row r="166" spans="1:9" ht="12">
      <c r="A166" s="32"/>
      <c r="B166" s="38" t="s">
        <v>968</v>
      </c>
      <c r="C166" s="38" t="s">
        <v>973</v>
      </c>
      <c r="D166" s="39" t="s">
        <v>974</v>
      </c>
      <c r="E166" s="38"/>
      <c r="F166" s="38">
        <v>1</v>
      </c>
      <c r="G166" s="32"/>
      <c r="H166" s="32"/>
      <c r="I166" s="32"/>
    </row>
    <row r="167" spans="1:9" ht="12">
      <c r="A167" s="32"/>
      <c r="B167" s="38" t="s">
        <v>968</v>
      </c>
      <c r="C167" s="38" t="s">
        <v>975</v>
      </c>
      <c r="D167" s="39" t="s">
        <v>976</v>
      </c>
      <c r="E167" s="38"/>
      <c r="F167" s="38">
        <v>1</v>
      </c>
      <c r="G167" s="32"/>
      <c r="H167" s="32"/>
      <c r="I167" s="32"/>
    </row>
    <row r="168" spans="1:9" ht="12">
      <c r="A168" s="32"/>
      <c r="B168" s="38" t="s">
        <v>977</v>
      </c>
      <c r="C168" s="38"/>
      <c r="D168" s="39"/>
      <c r="E168" s="38"/>
      <c r="F168" s="38">
        <v>4</v>
      </c>
      <c r="G168" s="32"/>
      <c r="H168" s="32"/>
      <c r="I168" s="32"/>
    </row>
    <row r="169" spans="1:9" ht="12">
      <c r="A169" s="32"/>
      <c r="B169" s="38" t="s">
        <v>980</v>
      </c>
      <c r="C169" s="110" t="s">
        <v>1010</v>
      </c>
      <c r="D169" s="109" t="s">
        <v>1011</v>
      </c>
      <c r="E169" s="38"/>
      <c r="F169" s="38">
        <v>2</v>
      </c>
      <c r="G169" s="32"/>
      <c r="H169" s="32"/>
      <c r="I169" s="32"/>
    </row>
    <row r="170" spans="1:9" ht="12">
      <c r="A170" s="32"/>
      <c r="B170" s="38" t="s">
        <v>968</v>
      </c>
      <c r="C170" s="38" t="s">
        <v>985</v>
      </c>
      <c r="D170" s="39" t="s">
        <v>986</v>
      </c>
      <c r="E170" s="38"/>
      <c r="F170" s="38">
        <v>2</v>
      </c>
      <c r="G170" s="32"/>
      <c r="H170" s="32"/>
      <c r="I170" s="32"/>
    </row>
    <row r="171" spans="1:9" ht="12">
      <c r="A171" s="32"/>
      <c r="B171" s="38" t="s">
        <v>987</v>
      </c>
      <c r="C171" s="38"/>
      <c r="D171" s="39"/>
      <c r="E171" s="38"/>
      <c r="F171" s="38">
        <v>1</v>
      </c>
      <c r="G171" s="32"/>
      <c r="H171" s="32"/>
      <c r="I171" s="32"/>
    </row>
    <row r="172" spans="1:9" ht="12">
      <c r="A172" s="32"/>
      <c r="B172" s="38" t="s">
        <v>103</v>
      </c>
      <c r="C172" s="38"/>
      <c r="D172" s="39"/>
      <c r="E172" s="38"/>
      <c r="F172" s="38">
        <v>1</v>
      </c>
      <c r="G172" s="32"/>
      <c r="H172" s="32"/>
      <c r="I172" s="32"/>
    </row>
    <row r="173" spans="1:9" ht="12">
      <c r="A173" s="32"/>
      <c r="B173" s="38" t="s">
        <v>1000</v>
      </c>
      <c r="C173" s="38" t="s">
        <v>314</v>
      </c>
      <c r="D173" s="39" t="s">
        <v>316</v>
      </c>
      <c r="E173" s="38">
        <v>1</v>
      </c>
      <c r="F173" s="38">
        <v>1</v>
      </c>
      <c r="G173" s="32"/>
      <c r="H173" s="32"/>
      <c r="I173" s="32"/>
    </row>
    <row r="174" spans="1:9" ht="12">
      <c r="A174" s="32"/>
      <c r="B174" s="38" t="s">
        <v>1000</v>
      </c>
      <c r="C174" s="38" t="s">
        <v>289</v>
      </c>
      <c r="D174" s="39" t="s">
        <v>291</v>
      </c>
      <c r="E174" s="38">
        <v>2</v>
      </c>
      <c r="F174" s="38">
        <v>1</v>
      </c>
      <c r="G174" s="32"/>
      <c r="H174" s="32"/>
      <c r="I174" s="32"/>
    </row>
    <row r="175" spans="1:9" ht="12">
      <c r="A175" s="32"/>
      <c r="B175" s="38" t="s">
        <v>146</v>
      </c>
      <c r="C175" s="38" t="s">
        <v>194</v>
      </c>
      <c r="D175" s="39" t="s">
        <v>196</v>
      </c>
      <c r="E175" s="38">
        <v>8</v>
      </c>
      <c r="F175" s="38">
        <v>1</v>
      </c>
      <c r="G175" s="32"/>
      <c r="H175" s="32"/>
      <c r="I175" s="32"/>
    </row>
    <row r="176" spans="1:9" ht="12">
      <c r="A176" s="32"/>
      <c r="B176" s="38" t="s">
        <v>146</v>
      </c>
      <c r="C176" s="38" t="s">
        <v>223</v>
      </c>
      <c r="D176" s="39" t="s">
        <v>224</v>
      </c>
      <c r="E176" s="38">
        <v>7</v>
      </c>
      <c r="F176" s="38">
        <v>1</v>
      </c>
      <c r="G176" s="32"/>
      <c r="H176" s="32"/>
      <c r="I176" s="32"/>
    </row>
    <row r="177" spans="1:9" ht="12">
      <c r="A177" s="32"/>
      <c r="B177" s="38" t="s">
        <v>146</v>
      </c>
      <c r="C177" s="38" t="s">
        <v>338</v>
      </c>
      <c r="D177" s="39" t="s">
        <v>340</v>
      </c>
      <c r="E177" s="38">
        <v>3</v>
      </c>
      <c r="F177" s="38">
        <v>1</v>
      </c>
      <c r="G177" s="32"/>
      <c r="H177" s="32"/>
      <c r="I177" s="32"/>
    </row>
    <row r="178" spans="1:9" ht="12">
      <c r="A178" s="32"/>
      <c r="B178" s="38" t="s">
        <v>146</v>
      </c>
      <c r="C178" s="38" t="s">
        <v>333</v>
      </c>
      <c r="D178" s="39" t="s">
        <v>335</v>
      </c>
      <c r="E178" s="38">
        <v>5</v>
      </c>
      <c r="F178" s="38">
        <v>1</v>
      </c>
      <c r="G178" s="32"/>
      <c r="H178" s="32"/>
      <c r="I178" s="32"/>
    </row>
    <row r="179" spans="1:9" ht="12">
      <c r="A179" s="32"/>
      <c r="B179" s="38" t="s">
        <v>146</v>
      </c>
      <c r="C179" s="38" t="s">
        <v>433</v>
      </c>
      <c r="D179" s="39" t="s">
        <v>434</v>
      </c>
      <c r="E179" s="38">
        <v>6</v>
      </c>
      <c r="F179" s="38">
        <v>1</v>
      </c>
      <c r="G179" s="32"/>
      <c r="H179" s="32"/>
      <c r="I179" s="32"/>
    </row>
    <row r="180" spans="1:9" ht="12">
      <c r="A180" s="32"/>
      <c r="B180" s="38" t="s">
        <v>146</v>
      </c>
      <c r="C180" s="38" t="s">
        <v>343</v>
      </c>
      <c r="D180" s="39" t="s">
        <v>345</v>
      </c>
      <c r="E180" s="38">
        <v>1</v>
      </c>
      <c r="F180" s="38">
        <v>1</v>
      </c>
      <c r="G180" s="32"/>
      <c r="H180" s="32"/>
      <c r="I180" s="32"/>
    </row>
    <row r="181" spans="1:9" ht="12">
      <c r="A181" s="32"/>
      <c r="B181" s="38" t="s">
        <v>360</v>
      </c>
      <c r="C181" s="38" t="s">
        <v>372</v>
      </c>
      <c r="D181" s="39" t="s">
        <v>374</v>
      </c>
      <c r="E181" s="38">
        <v>2</v>
      </c>
      <c r="F181" s="38">
        <v>1</v>
      </c>
      <c r="G181" s="32"/>
      <c r="H181" s="32"/>
      <c r="I181" s="32"/>
    </row>
    <row r="182" spans="1:9">
      <c r="A182" s="32"/>
      <c r="B182" s="32"/>
      <c r="C182" s="32"/>
      <c r="D182" s="91"/>
      <c r="E182" s="32"/>
      <c r="F182" s="32"/>
      <c r="G182" s="32"/>
      <c r="H182" s="32"/>
      <c r="I182" s="32"/>
    </row>
    <row r="183" spans="1:9">
      <c r="A183" s="32"/>
      <c r="B183" s="32"/>
      <c r="C183" s="32"/>
      <c r="D183" s="91"/>
      <c r="E183" s="32"/>
      <c r="F183" s="32"/>
      <c r="G183" s="32"/>
      <c r="H183" s="32"/>
      <c r="I183" s="32"/>
    </row>
    <row r="184" spans="1:9">
      <c r="A184" s="32"/>
      <c r="B184" s="105" t="s">
        <v>1012</v>
      </c>
      <c r="C184" s="32"/>
      <c r="D184" s="32"/>
      <c r="E184" s="32"/>
      <c r="F184" s="32"/>
      <c r="G184" s="32"/>
      <c r="H184" s="32"/>
      <c r="I184" s="32"/>
    </row>
    <row r="185" spans="1:9" ht="12">
      <c r="A185" s="32"/>
      <c r="B185" s="101" t="s">
        <v>925</v>
      </c>
      <c r="C185" s="101" t="s">
        <v>1</v>
      </c>
      <c r="D185" s="102" t="s">
        <v>926</v>
      </c>
      <c r="E185" s="101" t="s">
        <v>1009</v>
      </c>
      <c r="F185" s="101" t="s">
        <v>928</v>
      </c>
      <c r="G185" s="32"/>
      <c r="H185" s="32"/>
      <c r="I185" s="32"/>
    </row>
    <row r="186" spans="1:9" ht="12">
      <c r="A186" s="32"/>
      <c r="B186" s="38" t="s">
        <v>931</v>
      </c>
      <c r="C186" s="38" t="s">
        <v>932</v>
      </c>
      <c r="D186" s="39" t="s">
        <v>933</v>
      </c>
      <c r="E186" s="38"/>
      <c r="F186" s="38">
        <v>1</v>
      </c>
      <c r="G186" s="32"/>
      <c r="H186" s="32"/>
      <c r="I186" s="32"/>
    </row>
    <row r="187" spans="1:9" ht="12">
      <c r="A187" s="32"/>
      <c r="B187" s="38" t="s">
        <v>934</v>
      </c>
      <c r="C187" s="38" t="s">
        <v>935</v>
      </c>
      <c r="D187" s="39" t="s">
        <v>936</v>
      </c>
      <c r="E187" s="38"/>
      <c r="F187" s="38">
        <v>1</v>
      </c>
      <c r="G187" s="32"/>
      <c r="H187" s="32"/>
      <c r="I187" s="32"/>
    </row>
    <row r="188" spans="1:9" ht="12">
      <c r="A188" s="32"/>
      <c r="B188" s="38" t="s">
        <v>937</v>
      </c>
      <c r="C188" s="38" t="s">
        <v>938</v>
      </c>
      <c r="D188" s="39" t="s">
        <v>939</v>
      </c>
      <c r="E188" s="38"/>
      <c r="F188" s="38">
        <v>1</v>
      </c>
      <c r="G188" s="32"/>
      <c r="H188" s="32"/>
      <c r="I188" s="32"/>
    </row>
    <row r="189" spans="1:9" ht="12">
      <c r="A189" s="32"/>
      <c r="B189" s="38" t="s">
        <v>940</v>
      </c>
      <c r="C189" s="38" t="s">
        <v>941</v>
      </c>
      <c r="D189" s="39" t="s">
        <v>942</v>
      </c>
      <c r="E189" s="38"/>
      <c r="F189" s="38">
        <v>1</v>
      </c>
      <c r="G189" s="32"/>
      <c r="H189" s="32"/>
      <c r="I189" s="32"/>
    </row>
    <row r="190" spans="1:9" ht="12">
      <c r="A190" s="32"/>
      <c r="B190" s="38" t="s">
        <v>943</v>
      </c>
      <c r="C190" s="38" t="s">
        <v>944</v>
      </c>
      <c r="D190" s="39" t="s">
        <v>945</v>
      </c>
      <c r="E190" s="38"/>
      <c r="F190" s="38">
        <v>2</v>
      </c>
      <c r="G190" s="32"/>
      <c r="H190" s="32"/>
      <c r="I190" s="32"/>
    </row>
    <row r="191" spans="1:9" ht="12">
      <c r="A191" s="32"/>
      <c r="B191" s="38" t="s">
        <v>946</v>
      </c>
      <c r="C191" s="38" t="s">
        <v>947</v>
      </c>
      <c r="D191" s="39" t="s">
        <v>948</v>
      </c>
      <c r="E191" s="38"/>
      <c r="F191" s="38">
        <v>2</v>
      </c>
      <c r="G191" s="32"/>
      <c r="H191" s="32"/>
      <c r="I191" s="32"/>
    </row>
    <row r="192" spans="1:9" ht="12">
      <c r="A192" s="32"/>
      <c r="B192" s="38" t="s">
        <v>949</v>
      </c>
      <c r="C192" s="38" t="s">
        <v>950</v>
      </c>
      <c r="D192" s="39" t="s">
        <v>951</v>
      </c>
      <c r="E192" s="38"/>
      <c r="F192" s="38">
        <v>2</v>
      </c>
      <c r="G192" s="32"/>
      <c r="H192" s="32"/>
      <c r="I192" s="32"/>
    </row>
    <row r="193" spans="1:9" ht="12">
      <c r="A193" s="32"/>
      <c r="B193" s="38" t="s">
        <v>952</v>
      </c>
      <c r="C193" s="38" t="s">
        <v>953</v>
      </c>
      <c r="D193" s="39" t="s">
        <v>954</v>
      </c>
      <c r="E193" s="38"/>
      <c r="F193" s="38">
        <v>1</v>
      </c>
      <c r="G193" s="32"/>
      <c r="H193" s="32"/>
      <c r="I193" s="32"/>
    </row>
    <row r="194" spans="1:9" ht="12">
      <c r="A194" s="32"/>
      <c r="B194" s="38" t="s">
        <v>952</v>
      </c>
      <c r="C194" s="38" t="s">
        <v>955</v>
      </c>
      <c r="D194" s="39" t="s">
        <v>956</v>
      </c>
      <c r="E194" s="38"/>
      <c r="F194" s="38">
        <v>1</v>
      </c>
      <c r="G194" s="32"/>
      <c r="H194" s="32"/>
      <c r="I194" s="32"/>
    </row>
    <row r="195" spans="1:9" ht="12">
      <c r="A195" s="32"/>
      <c r="B195" s="38" t="s">
        <v>957</v>
      </c>
      <c r="C195" s="38" t="s">
        <v>958</v>
      </c>
      <c r="D195" s="39" t="s">
        <v>959</v>
      </c>
      <c r="E195" s="38"/>
      <c r="F195" s="38">
        <v>1</v>
      </c>
      <c r="G195" s="32"/>
      <c r="H195" s="32"/>
      <c r="I195" s="32"/>
    </row>
    <row r="196" spans="1:9" ht="12">
      <c r="A196" s="32"/>
      <c r="B196" s="38" t="s">
        <v>960</v>
      </c>
      <c r="C196" s="38" t="s">
        <v>961</v>
      </c>
      <c r="D196" s="39" t="s">
        <v>962</v>
      </c>
      <c r="E196" s="38"/>
      <c r="F196" s="38">
        <v>2</v>
      </c>
      <c r="G196" s="32"/>
      <c r="H196" s="32"/>
      <c r="I196" s="32"/>
    </row>
    <row r="197" spans="1:9" ht="12">
      <c r="A197" s="32"/>
      <c r="B197" s="38" t="s">
        <v>963</v>
      </c>
      <c r="C197" s="38" t="s">
        <v>964</v>
      </c>
      <c r="D197" s="39" t="s">
        <v>965</v>
      </c>
      <c r="E197" s="38"/>
      <c r="F197" s="38">
        <v>1</v>
      </c>
      <c r="G197" s="32"/>
      <c r="H197" s="32"/>
      <c r="I197" s="32"/>
    </row>
    <row r="198" spans="1:9" ht="12">
      <c r="A198" s="32"/>
      <c r="B198" s="38" t="s">
        <v>940</v>
      </c>
      <c r="C198" s="38" t="s">
        <v>966</v>
      </c>
      <c r="D198" s="39" t="s">
        <v>967</v>
      </c>
      <c r="E198" s="38"/>
      <c r="F198" s="38">
        <v>1</v>
      </c>
      <c r="G198" s="32"/>
      <c r="H198" s="32"/>
      <c r="I198" s="32"/>
    </row>
    <row r="199" spans="1:9" ht="12">
      <c r="A199" s="32"/>
      <c r="B199" s="38" t="s">
        <v>968</v>
      </c>
      <c r="C199" s="38" t="s">
        <v>969</v>
      </c>
      <c r="D199" s="39" t="s">
        <v>970</v>
      </c>
      <c r="E199" s="38"/>
      <c r="F199" s="38">
        <v>1</v>
      </c>
      <c r="G199" s="32"/>
      <c r="H199" s="32"/>
      <c r="I199" s="32"/>
    </row>
    <row r="200" spans="1:9" ht="12">
      <c r="A200" s="32"/>
      <c r="B200" s="38" t="s">
        <v>968</v>
      </c>
      <c r="C200" s="38" t="s">
        <v>971</v>
      </c>
      <c r="D200" s="39" t="s">
        <v>972</v>
      </c>
      <c r="E200" s="38"/>
      <c r="F200" s="38">
        <v>1</v>
      </c>
      <c r="G200" s="32"/>
      <c r="H200" s="32"/>
      <c r="I200" s="32"/>
    </row>
    <row r="201" spans="1:9" ht="12">
      <c r="A201" s="32"/>
      <c r="B201" s="38" t="s">
        <v>968</v>
      </c>
      <c r="C201" s="38" t="s">
        <v>973</v>
      </c>
      <c r="D201" s="39" t="s">
        <v>974</v>
      </c>
      <c r="E201" s="38"/>
      <c r="F201" s="38">
        <v>1</v>
      </c>
      <c r="G201" s="32"/>
      <c r="H201" s="32"/>
      <c r="I201" s="32"/>
    </row>
    <row r="202" spans="1:9" ht="12">
      <c r="A202" s="32"/>
      <c r="B202" s="38" t="s">
        <v>968</v>
      </c>
      <c r="C202" s="38" t="s">
        <v>975</v>
      </c>
      <c r="D202" s="39" t="s">
        <v>976</v>
      </c>
      <c r="E202" s="38"/>
      <c r="F202" s="38">
        <v>1</v>
      </c>
      <c r="G202" s="32"/>
      <c r="H202" s="32"/>
      <c r="I202" s="32"/>
    </row>
    <row r="203" spans="1:9" ht="12">
      <c r="A203" s="32"/>
      <c r="B203" s="38" t="s">
        <v>977</v>
      </c>
      <c r="C203" s="38"/>
      <c r="D203" s="39"/>
      <c r="E203" s="38"/>
      <c r="F203" s="38">
        <v>4</v>
      </c>
      <c r="G203" s="32"/>
      <c r="H203" s="32"/>
      <c r="I203" s="32"/>
    </row>
    <row r="204" spans="1:9" ht="12">
      <c r="A204" s="32"/>
      <c r="B204" s="38" t="s">
        <v>980</v>
      </c>
      <c r="C204" s="110" t="s">
        <v>1010</v>
      </c>
      <c r="D204" s="109" t="s">
        <v>1011</v>
      </c>
      <c r="E204" s="38"/>
      <c r="F204" s="38">
        <v>2</v>
      </c>
      <c r="G204" s="32"/>
      <c r="H204" s="32"/>
      <c r="I204" s="32"/>
    </row>
    <row r="205" spans="1:9" ht="12">
      <c r="A205" s="32"/>
      <c r="B205" s="38" t="s">
        <v>968</v>
      </c>
      <c r="C205" s="38" t="s">
        <v>985</v>
      </c>
      <c r="D205" s="39" t="s">
        <v>986</v>
      </c>
      <c r="E205" s="38"/>
      <c r="F205" s="38">
        <v>2</v>
      </c>
      <c r="G205" s="32"/>
      <c r="H205" s="32"/>
      <c r="I205" s="32"/>
    </row>
    <row r="206" spans="1:9" ht="12">
      <c r="A206" s="32"/>
      <c r="B206" s="38" t="s">
        <v>987</v>
      </c>
      <c r="C206" s="38"/>
      <c r="D206" s="39"/>
      <c r="E206" s="38"/>
      <c r="F206" s="38">
        <v>1</v>
      </c>
      <c r="G206" s="32"/>
      <c r="H206" s="32"/>
      <c r="I206" s="32"/>
    </row>
    <row r="207" spans="1:9" ht="12">
      <c r="A207" s="32"/>
      <c r="B207" s="38" t="s">
        <v>133</v>
      </c>
      <c r="C207" s="38" t="s">
        <v>134</v>
      </c>
      <c r="D207" s="39" t="s">
        <v>136</v>
      </c>
      <c r="E207" s="38">
        <v>2</v>
      </c>
      <c r="F207" s="38">
        <v>1</v>
      </c>
      <c r="G207" s="32"/>
      <c r="H207" s="32"/>
      <c r="I207" s="32"/>
    </row>
    <row r="208" spans="1:9" ht="12">
      <c r="A208" s="32"/>
      <c r="B208" s="38" t="s">
        <v>1000</v>
      </c>
      <c r="C208" s="38" t="s">
        <v>157</v>
      </c>
      <c r="D208" s="39" t="s">
        <v>159</v>
      </c>
      <c r="E208" s="32">
        <v>2</v>
      </c>
      <c r="F208" s="38">
        <v>1</v>
      </c>
      <c r="G208" s="32"/>
      <c r="H208" s="32"/>
      <c r="I208" s="32"/>
    </row>
    <row r="209" spans="1:9" ht="12">
      <c r="A209" s="32"/>
      <c r="B209" s="38" t="s">
        <v>66</v>
      </c>
      <c r="C209" s="38" t="s">
        <v>67</v>
      </c>
      <c r="D209" s="39" t="s">
        <v>70</v>
      </c>
      <c r="E209" s="38">
        <v>8</v>
      </c>
      <c r="F209" s="38">
        <v>1</v>
      </c>
      <c r="G209" s="32"/>
      <c r="H209" s="32"/>
      <c r="I209" s="32"/>
    </row>
    <row r="210" spans="1:9" ht="12">
      <c r="A210" s="32"/>
      <c r="B210" s="38" t="s">
        <v>66</v>
      </c>
      <c r="C210" s="38" t="s">
        <v>55</v>
      </c>
      <c r="D210" s="39" t="s">
        <v>832</v>
      </c>
      <c r="E210" s="38">
        <v>7</v>
      </c>
      <c r="F210" s="38">
        <v>1</v>
      </c>
      <c r="G210" s="32"/>
      <c r="H210" s="32"/>
      <c r="I210" s="32"/>
    </row>
    <row r="211" spans="1:9" ht="12">
      <c r="A211" s="32"/>
      <c r="B211" s="38" t="s">
        <v>146</v>
      </c>
      <c r="C211" s="38" t="s">
        <v>296</v>
      </c>
      <c r="D211" s="39" t="s">
        <v>298</v>
      </c>
      <c r="E211" s="38">
        <v>3</v>
      </c>
      <c r="F211" s="38">
        <v>1</v>
      </c>
      <c r="G211" s="32"/>
      <c r="H211" s="32"/>
      <c r="I211" s="32"/>
    </row>
    <row r="212" spans="1:9" ht="12">
      <c r="A212" s="32"/>
      <c r="B212" s="38" t="s">
        <v>146</v>
      </c>
      <c r="C212" s="38" t="s">
        <v>183</v>
      </c>
      <c r="D212" s="39" t="s">
        <v>185</v>
      </c>
      <c r="E212" s="38">
        <v>1</v>
      </c>
      <c r="F212" s="38">
        <v>1</v>
      </c>
      <c r="G212" s="32"/>
      <c r="H212" s="32"/>
      <c r="I212" s="32"/>
    </row>
    <row r="213" spans="1:9" ht="12">
      <c r="A213" s="32"/>
      <c r="B213" s="38" t="s">
        <v>146</v>
      </c>
      <c r="C213" s="38" t="s">
        <v>324</v>
      </c>
      <c r="D213" s="39" t="s">
        <v>325</v>
      </c>
      <c r="E213" s="38">
        <v>6</v>
      </c>
      <c r="F213" s="38">
        <v>1</v>
      </c>
      <c r="G213" s="32"/>
      <c r="H213" s="32"/>
      <c r="I213" s="32"/>
    </row>
    <row r="214" spans="1:9" ht="12">
      <c r="A214" s="32"/>
      <c r="B214" s="38" t="s">
        <v>146</v>
      </c>
      <c r="C214" s="38" t="s">
        <v>378</v>
      </c>
      <c r="D214" s="39" t="s">
        <v>380</v>
      </c>
      <c r="E214" s="38">
        <v>5</v>
      </c>
      <c r="F214" s="38">
        <v>1</v>
      </c>
      <c r="G214" s="32"/>
      <c r="H214" s="32"/>
      <c r="I214" s="32"/>
    </row>
    <row r="215" spans="1:9" ht="12">
      <c r="A215" s="32"/>
      <c r="B215" s="38" t="s">
        <v>1013</v>
      </c>
      <c r="C215" s="38" t="s">
        <v>381</v>
      </c>
      <c r="D215" s="39" t="s">
        <v>383</v>
      </c>
      <c r="E215" s="38">
        <v>1</v>
      </c>
      <c r="F215" s="38">
        <v>1</v>
      </c>
      <c r="G215" s="32"/>
      <c r="H215" s="32"/>
      <c r="I215" s="32"/>
    </row>
    <row r="216" spans="1:9" ht="12">
      <c r="A216" s="32"/>
      <c r="B216" s="32"/>
      <c r="C216" s="32"/>
      <c r="D216" s="91"/>
      <c r="E216" s="32"/>
      <c r="F216" s="32"/>
      <c r="G216" s="32"/>
      <c r="H216" s="32"/>
      <c r="I216" s="32"/>
    </row>
    <row r="217" spans="1:9" ht="12">
      <c r="A217" s="32"/>
      <c r="B217" s="32"/>
      <c r="C217" s="32"/>
      <c r="D217" s="91"/>
      <c r="E217" s="32"/>
      <c r="F217" s="32"/>
      <c r="G217" s="32"/>
      <c r="H217" s="32"/>
      <c r="I217" s="32"/>
    </row>
    <row r="218" spans="1:9" ht="12">
      <c r="A218" s="32"/>
      <c r="B218" s="105" t="s">
        <v>1014</v>
      </c>
      <c r="C218" s="32"/>
      <c r="D218" s="32"/>
      <c r="E218" s="32"/>
      <c r="F218" s="32"/>
      <c r="G218" s="32"/>
      <c r="H218" s="32"/>
      <c r="I218" s="32"/>
    </row>
    <row r="219" spans="1:9" ht="12">
      <c r="A219" s="32"/>
      <c r="B219" s="101" t="s">
        <v>925</v>
      </c>
      <c r="C219" s="101" t="s">
        <v>1</v>
      </c>
      <c r="D219" s="102" t="s">
        <v>926</v>
      </c>
      <c r="E219" s="101" t="s">
        <v>1009</v>
      </c>
      <c r="F219" s="101" t="s">
        <v>928</v>
      </c>
      <c r="G219" s="32"/>
      <c r="H219" s="32"/>
      <c r="I219" s="32"/>
    </row>
    <row r="220" spans="1:9" ht="12">
      <c r="A220" s="32"/>
      <c r="B220" s="38" t="s">
        <v>931</v>
      </c>
      <c r="C220" s="38" t="s">
        <v>932</v>
      </c>
      <c r="D220" s="39" t="s">
        <v>933</v>
      </c>
      <c r="E220" s="38"/>
      <c r="F220" s="38">
        <v>1</v>
      </c>
      <c r="G220" s="32"/>
      <c r="H220" s="32"/>
      <c r="I220" s="32"/>
    </row>
    <row r="221" spans="1:9" ht="12">
      <c r="A221" s="32"/>
      <c r="B221" s="38" t="s">
        <v>934</v>
      </c>
      <c r="C221" s="38" t="s">
        <v>935</v>
      </c>
      <c r="D221" s="39" t="s">
        <v>936</v>
      </c>
      <c r="E221" s="38"/>
      <c r="F221" s="38">
        <v>1</v>
      </c>
      <c r="G221" s="32"/>
      <c r="H221" s="32"/>
      <c r="I221" s="32"/>
    </row>
    <row r="222" spans="1:9" ht="12">
      <c r="A222" s="32"/>
      <c r="B222" s="38" t="s">
        <v>937</v>
      </c>
      <c r="C222" s="38" t="s">
        <v>938</v>
      </c>
      <c r="D222" s="39" t="s">
        <v>939</v>
      </c>
      <c r="E222" s="38"/>
      <c r="F222" s="38">
        <v>1</v>
      </c>
      <c r="G222" s="32"/>
      <c r="H222" s="32"/>
      <c r="I222" s="32"/>
    </row>
    <row r="223" spans="1:9" ht="12">
      <c r="A223" s="32"/>
      <c r="B223" s="38" t="s">
        <v>940</v>
      </c>
      <c r="C223" s="38" t="s">
        <v>941</v>
      </c>
      <c r="D223" s="39" t="s">
        <v>942</v>
      </c>
      <c r="E223" s="38"/>
      <c r="F223" s="38">
        <v>1</v>
      </c>
      <c r="G223" s="32"/>
      <c r="H223" s="32"/>
      <c r="I223" s="32"/>
    </row>
    <row r="224" spans="1:9" ht="12">
      <c r="A224" s="32"/>
      <c r="B224" s="38" t="s">
        <v>943</v>
      </c>
      <c r="C224" s="38" t="s">
        <v>944</v>
      </c>
      <c r="D224" s="39" t="s">
        <v>945</v>
      </c>
      <c r="E224" s="38"/>
      <c r="F224" s="38">
        <v>2</v>
      </c>
      <c r="G224" s="32"/>
      <c r="H224" s="32"/>
      <c r="I224" s="32"/>
    </row>
    <row r="225" spans="1:9" ht="12">
      <c r="A225" s="32"/>
      <c r="B225" s="38" t="s">
        <v>946</v>
      </c>
      <c r="C225" s="38" t="s">
        <v>947</v>
      </c>
      <c r="D225" s="39" t="s">
        <v>948</v>
      </c>
      <c r="E225" s="38"/>
      <c r="F225" s="38">
        <v>2</v>
      </c>
      <c r="G225" s="32"/>
      <c r="H225" s="32"/>
      <c r="I225" s="32"/>
    </row>
    <row r="226" spans="1:9" ht="12">
      <c r="A226" s="32"/>
      <c r="B226" s="38" t="s">
        <v>949</v>
      </c>
      <c r="C226" s="38" t="s">
        <v>950</v>
      </c>
      <c r="D226" s="39" t="s">
        <v>951</v>
      </c>
      <c r="E226" s="38"/>
      <c r="F226" s="38">
        <v>2</v>
      </c>
      <c r="G226" s="32"/>
      <c r="H226" s="32"/>
      <c r="I226" s="32"/>
    </row>
    <row r="227" spans="1:9" ht="12">
      <c r="A227" s="32"/>
      <c r="B227" s="38" t="s">
        <v>952</v>
      </c>
      <c r="C227" s="38" t="s">
        <v>953</v>
      </c>
      <c r="D227" s="39" t="s">
        <v>954</v>
      </c>
      <c r="E227" s="38"/>
      <c r="F227" s="38">
        <v>1</v>
      </c>
      <c r="G227" s="32"/>
      <c r="H227" s="32"/>
      <c r="I227" s="32"/>
    </row>
    <row r="228" spans="1:9" ht="12">
      <c r="A228" s="32"/>
      <c r="B228" s="38" t="s">
        <v>952</v>
      </c>
      <c r="C228" s="38" t="s">
        <v>955</v>
      </c>
      <c r="D228" s="39" t="s">
        <v>956</v>
      </c>
      <c r="E228" s="38"/>
      <c r="F228" s="38">
        <v>1</v>
      </c>
      <c r="G228" s="32"/>
      <c r="H228" s="32"/>
      <c r="I228" s="32"/>
    </row>
    <row r="229" spans="1:9" ht="12">
      <c r="A229" s="32"/>
      <c r="B229" s="38" t="s">
        <v>957</v>
      </c>
      <c r="C229" s="38" t="s">
        <v>958</v>
      </c>
      <c r="D229" s="39" t="s">
        <v>959</v>
      </c>
      <c r="E229" s="38"/>
      <c r="F229" s="38">
        <v>1</v>
      </c>
      <c r="G229" s="32"/>
      <c r="H229" s="32"/>
      <c r="I229" s="32"/>
    </row>
    <row r="230" spans="1:9" ht="12">
      <c r="A230" s="32"/>
      <c r="B230" s="38" t="s">
        <v>960</v>
      </c>
      <c r="C230" s="38" t="s">
        <v>961</v>
      </c>
      <c r="D230" s="39" t="s">
        <v>962</v>
      </c>
      <c r="E230" s="38"/>
      <c r="F230" s="38">
        <v>2</v>
      </c>
      <c r="G230" s="32"/>
      <c r="H230" s="32"/>
      <c r="I230" s="32"/>
    </row>
    <row r="231" spans="1:9" ht="12">
      <c r="A231" s="32"/>
      <c r="B231" s="38" t="s">
        <v>963</v>
      </c>
      <c r="C231" s="38" t="s">
        <v>964</v>
      </c>
      <c r="D231" s="39" t="s">
        <v>965</v>
      </c>
      <c r="E231" s="38"/>
      <c r="F231" s="38">
        <v>1</v>
      </c>
      <c r="G231" s="32"/>
      <c r="H231" s="32"/>
      <c r="I231" s="32"/>
    </row>
    <row r="232" spans="1:9" ht="12">
      <c r="A232" s="32"/>
      <c r="B232" s="38" t="s">
        <v>940</v>
      </c>
      <c r="C232" s="38" t="s">
        <v>966</v>
      </c>
      <c r="D232" s="39" t="s">
        <v>967</v>
      </c>
      <c r="E232" s="38"/>
      <c r="F232" s="38">
        <v>1</v>
      </c>
      <c r="G232" s="32"/>
      <c r="H232" s="32"/>
      <c r="I232" s="32"/>
    </row>
    <row r="233" spans="1:9" ht="12">
      <c r="A233" s="32"/>
      <c r="B233" s="38" t="s">
        <v>968</v>
      </c>
      <c r="C233" s="38" t="s">
        <v>969</v>
      </c>
      <c r="D233" s="39" t="s">
        <v>970</v>
      </c>
      <c r="E233" s="38"/>
      <c r="F233" s="38">
        <v>1</v>
      </c>
      <c r="G233" s="32"/>
      <c r="H233" s="32"/>
      <c r="I233" s="32"/>
    </row>
    <row r="234" spans="1:9" ht="12">
      <c r="A234" s="32"/>
      <c r="B234" s="38" t="s">
        <v>968</v>
      </c>
      <c r="C234" s="38" t="s">
        <v>971</v>
      </c>
      <c r="D234" s="39" t="s">
        <v>972</v>
      </c>
      <c r="E234" s="38"/>
      <c r="F234" s="38">
        <v>1</v>
      </c>
      <c r="G234" s="32"/>
      <c r="H234" s="32"/>
      <c r="I234" s="32"/>
    </row>
    <row r="235" spans="1:9" ht="12">
      <c r="A235" s="32"/>
      <c r="B235" s="38" t="s">
        <v>968</v>
      </c>
      <c r="C235" s="38" t="s">
        <v>973</v>
      </c>
      <c r="D235" s="39" t="s">
        <v>974</v>
      </c>
      <c r="E235" s="38"/>
      <c r="F235" s="38">
        <v>1</v>
      </c>
      <c r="G235" s="32"/>
      <c r="H235" s="32"/>
      <c r="I235" s="32"/>
    </row>
    <row r="236" spans="1:9" ht="12">
      <c r="A236" s="32"/>
      <c r="B236" s="38" t="s">
        <v>968</v>
      </c>
      <c r="C236" s="38" t="s">
        <v>975</v>
      </c>
      <c r="D236" s="39" t="s">
        <v>976</v>
      </c>
      <c r="E236" s="38"/>
      <c r="F236" s="38">
        <v>1</v>
      </c>
      <c r="G236" s="32"/>
      <c r="H236" s="32"/>
      <c r="I236" s="32"/>
    </row>
    <row r="237" spans="1:9" ht="12">
      <c r="A237" s="32"/>
      <c r="B237" s="38" t="s">
        <v>977</v>
      </c>
      <c r="C237" s="38"/>
      <c r="D237" s="39"/>
      <c r="E237" s="38"/>
      <c r="F237" s="38">
        <v>4</v>
      </c>
      <c r="G237" s="32"/>
      <c r="H237" s="32"/>
      <c r="I237" s="32"/>
    </row>
    <row r="238" spans="1:9" ht="12">
      <c r="A238" s="32"/>
      <c r="B238" s="38" t="s">
        <v>980</v>
      </c>
      <c r="C238" s="110" t="s">
        <v>1010</v>
      </c>
      <c r="D238" s="109" t="s">
        <v>1011</v>
      </c>
      <c r="E238" s="38"/>
      <c r="F238" s="38">
        <v>2</v>
      </c>
      <c r="G238" s="32"/>
      <c r="H238" s="32"/>
      <c r="I238" s="32"/>
    </row>
    <row r="239" spans="1:9" ht="12">
      <c r="A239" s="32"/>
      <c r="B239" s="38" t="s">
        <v>968</v>
      </c>
      <c r="C239" s="38" t="s">
        <v>985</v>
      </c>
      <c r="D239" s="39" t="s">
        <v>986</v>
      </c>
      <c r="E239" s="38"/>
      <c r="F239" s="38">
        <v>2</v>
      </c>
      <c r="G239" s="32"/>
      <c r="H239" s="32"/>
      <c r="I239" s="32"/>
    </row>
    <row r="240" spans="1:9" ht="12">
      <c r="A240" s="32"/>
      <c r="B240" s="38" t="s">
        <v>1015</v>
      </c>
      <c r="C240" s="38" t="s">
        <v>401</v>
      </c>
      <c r="D240" s="39" t="s">
        <v>402</v>
      </c>
      <c r="E240" s="38"/>
      <c r="F240" s="38">
        <v>1</v>
      </c>
      <c r="G240" s="32"/>
      <c r="H240" s="32"/>
      <c r="I240" s="32"/>
    </row>
    <row r="241" spans="1:9" ht="12">
      <c r="A241" s="32"/>
      <c r="B241" s="38" t="s">
        <v>1004</v>
      </c>
      <c r="C241" s="38" t="s">
        <v>396</v>
      </c>
      <c r="D241" s="39" t="s">
        <v>397</v>
      </c>
      <c r="E241" s="38">
        <v>8</v>
      </c>
      <c r="F241" s="38">
        <v>1</v>
      </c>
      <c r="G241" s="32"/>
      <c r="H241" s="32"/>
      <c r="I241" s="32"/>
    </row>
    <row r="242" spans="1:9" ht="12">
      <c r="A242" s="32"/>
      <c r="B242" s="38" t="s">
        <v>1004</v>
      </c>
      <c r="C242" s="38" t="s">
        <v>386</v>
      </c>
      <c r="D242" s="39" t="s">
        <v>388</v>
      </c>
      <c r="E242" s="38">
        <v>7</v>
      </c>
      <c r="F242" s="38">
        <v>1</v>
      </c>
      <c r="G242" s="32"/>
      <c r="H242" s="32"/>
      <c r="I242" s="32"/>
    </row>
    <row r="243" spans="1:9" ht="12">
      <c r="A243" s="32"/>
      <c r="B243" s="38" t="s">
        <v>146</v>
      </c>
      <c r="C243" s="38" t="s">
        <v>296</v>
      </c>
      <c r="D243" s="39" t="s">
        <v>298</v>
      </c>
      <c r="E243" s="38">
        <v>3</v>
      </c>
      <c r="F243" s="38">
        <v>1</v>
      </c>
      <c r="G243" s="32"/>
      <c r="H243" s="32"/>
      <c r="I243" s="32"/>
    </row>
    <row r="244" spans="1:9" ht="12">
      <c r="A244" s="32"/>
      <c r="B244" s="38" t="s">
        <v>146</v>
      </c>
      <c r="C244" s="38" t="s">
        <v>171</v>
      </c>
      <c r="D244" s="39" t="s">
        <v>173</v>
      </c>
      <c r="E244" s="38">
        <v>1</v>
      </c>
      <c r="F244" s="38">
        <v>1</v>
      </c>
      <c r="G244" s="32"/>
      <c r="H244" s="32"/>
      <c r="I244" s="32"/>
    </row>
    <row r="245" spans="1:9" ht="12">
      <c r="A245" s="32"/>
      <c r="B245" s="38" t="s">
        <v>146</v>
      </c>
      <c r="C245" s="38" t="s">
        <v>209</v>
      </c>
      <c r="D245" s="39" t="s">
        <v>211</v>
      </c>
      <c r="E245" s="38">
        <v>1</v>
      </c>
      <c r="F245" s="38">
        <v>1</v>
      </c>
      <c r="G245" s="32"/>
      <c r="H245" s="32"/>
      <c r="I245" s="32"/>
    </row>
    <row r="246" spans="1:9" ht="12">
      <c r="A246" s="32"/>
      <c r="B246" s="38" t="s">
        <v>146</v>
      </c>
      <c r="C246" s="38" t="s">
        <v>258</v>
      </c>
      <c r="D246" s="39" t="s">
        <v>260</v>
      </c>
      <c r="E246" s="38">
        <v>5</v>
      </c>
      <c r="F246" s="38">
        <v>1</v>
      </c>
      <c r="G246" s="32"/>
      <c r="H246" s="32"/>
      <c r="I246" s="32"/>
    </row>
    <row r="247" spans="1:9" ht="12">
      <c r="A247" s="32"/>
      <c r="B247" s="32"/>
      <c r="C247" s="32"/>
      <c r="D247" s="91"/>
      <c r="E247" s="32"/>
      <c r="F247" s="32"/>
      <c r="G247" s="32"/>
      <c r="H247" s="32"/>
      <c r="I247" s="32"/>
    </row>
    <row r="248" spans="1:9" ht="12">
      <c r="A248" s="32"/>
      <c r="B248" s="32"/>
      <c r="C248" s="32"/>
      <c r="D248" s="91"/>
      <c r="E248" s="32"/>
      <c r="F248" s="32"/>
      <c r="G248" s="32"/>
      <c r="H248" s="32"/>
      <c r="I248" s="32"/>
    </row>
    <row r="249" spans="1:9" ht="12">
      <c r="A249" s="32"/>
      <c r="B249" s="105" t="s">
        <v>1016</v>
      </c>
      <c r="C249" s="32"/>
      <c r="D249" s="32"/>
      <c r="E249" s="32"/>
      <c r="F249" s="32"/>
      <c r="G249" s="32"/>
      <c r="H249" s="32"/>
      <c r="I249" s="32"/>
    </row>
    <row r="250" spans="1:9" ht="12">
      <c r="A250" s="32"/>
      <c r="B250" s="101" t="s">
        <v>925</v>
      </c>
      <c r="C250" s="101" t="s">
        <v>1</v>
      </c>
      <c r="D250" s="102" t="s">
        <v>926</v>
      </c>
      <c r="E250" s="101" t="s">
        <v>1009</v>
      </c>
      <c r="F250" s="101" t="s">
        <v>928</v>
      </c>
      <c r="G250" s="32"/>
      <c r="H250" s="32"/>
      <c r="I250" s="32"/>
    </row>
    <row r="251" spans="1:9" ht="12">
      <c r="A251" s="32"/>
      <c r="B251" s="38" t="s">
        <v>931</v>
      </c>
      <c r="C251" s="38" t="s">
        <v>932</v>
      </c>
      <c r="D251" s="39" t="s">
        <v>933</v>
      </c>
      <c r="E251" s="38"/>
      <c r="F251" s="38">
        <v>1</v>
      </c>
      <c r="G251" s="32"/>
      <c r="H251" s="32"/>
      <c r="I251" s="32"/>
    </row>
    <row r="252" spans="1:9" ht="12">
      <c r="A252" s="32"/>
      <c r="B252" s="38" t="s">
        <v>934</v>
      </c>
      <c r="C252" s="38" t="s">
        <v>935</v>
      </c>
      <c r="D252" s="39" t="s">
        <v>936</v>
      </c>
      <c r="E252" s="38"/>
      <c r="F252" s="38">
        <v>1</v>
      </c>
      <c r="G252" s="32"/>
      <c r="H252" s="32"/>
      <c r="I252" s="32"/>
    </row>
    <row r="253" spans="1:9" ht="12">
      <c r="A253" s="32"/>
      <c r="B253" s="38" t="s">
        <v>937</v>
      </c>
      <c r="C253" s="38" t="s">
        <v>938</v>
      </c>
      <c r="D253" s="39" t="s">
        <v>939</v>
      </c>
      <c r="E253" s="38"/>
      <c r="F253" s="38">
        <v>1</v>
      </c>
      <c r="G253" s="32"/>
      <c r="H253" s="32"/>
      <c r="I253" s="32"/>
    </row>
    <row r="254" spans="1:9" ht="12">
      <c r="A254" s="32"/>
      <c r="B254" s="38" t="s">
        <v>940</v>
      </c>
      <c r="C254" s="38" t="s">
        <v>941</v>
      </c>
      <c r="D254" s="39" t="s">
        <v>942</v>
      </c>
      <c r="E254" s="38"/>
      <c r="F254" s="38">
        <v>1</v>
      </c>
      <c r="G254" s="32"/>
      <c r="H254" s="32"/>
      <c r="I254" s="32"/>
    </row>
    <row r="255" spans="1:9" ht="12">
      <c r="A255" s="32"/>
      <c r="B255" s="38" t="s">
        <v>943</v>
      </c>
      <c r="C255" s="38" t="s">
        <v>944</v>
      </c>
      <c r="D255" s="39" t="s">
        <v>945</v>
      </c>
      <c r="E255" s="38"/>
      <c r="F255" s="38">
        <v>2</v>
      </c>
      <c r="G255" s="32"/>
      <c r="H255" s="32"/>
      <c r="I255" s="32"/>
    </row>
    <row r="256" spans="1:9" ht="12">
      <c r="A256" s="32"/>
      <c r="B256" s="38" t="s">
        <v>946</v>
      </c>
      <c r="C256" s="38" t="s">
        <v>947</v>
      </c>
      <c r="D256" s="39" t="s">
        <v>948</v>
      </c>
      <c r="E256" s="38"/>
      <c r="F256" s="38">
        <v>2</v>
      </c>
      <c r="G256" s="32"/>
      <c r="H256" s="32"/>
      <c r="I256" s="32"/>
    </row>
    <row r="257" spans="1:9" ht="12">
      <c r="A257" s="32"/>
      <c r="B257" s="38" t="s">
        <v>949</v>
      </c>
      <c r="C257" s="38" t="s">
        <v>950</v>
      </c>
      <c r="D257" s="39" t="s">
        <v>951</v>
      </c>
      <c r="E257" s="38"/>
      <c r="F257" s="38">
        <v>2</v>
      </c>
      <c r="G257" s="32"/>
      <c r="H257" s="32"/>
      <c r="I257" s="32"/>
    </row>
    <row r="258" spans="1:9" ht="12">
      <c r="A258" s="32"/>
      <c r="B258" s="38" t="s">
        <v>952</v>
      </c>
      <c r="C258" s="38" t="s">
        <v>953</v>
      </c>
      <c r="D258" s="39" t="s">
        <v>954</v>
      </c>
      <c r="E258" s="38"/>
      <c r="F258" s="38">
        <v>1</v>
      </c>
      <c r="G258" s="32"/>
      <c r="H258" s="32"/>
      <c r="I258" s="32"/>
    </row>
    <row r="259" spans="1:9" ht="12">
      <c r="A259" s="32"/>
      <c r="B259" s="38" t="s">
        <v>952</v>
      </c>
      <c r="C259" s="38" t="s">
        <v>955</v>
      </c>
      <c r="D259" s="39" t="s">
        <v>956</v>
      </c>
      <c r="E259" s="38"/>
      <c r="F259" s="38">
        <v>1</v>
      </c>
      <c r="G259" s="32"/>
      <c r="H259" s="32"/>
      <c r="I259" s="32"/>
    </row>
    <row r="260" spans="1:9" ht="12">
      <c r="A260" s="32"/>
      <c r="B260" s="38" t="s">
        <v>957</v>
      </c>
      <c r="C260" s="38" t="s">
        <v>958</v>
      </c>
      <c r="D260" s="39" t="s">
        <v>959</v>
      </c>
      <c r="E260" s="38"/>
      <c r="F260" s="38">
        <v>1</v>
      </c>
      <c r="G260" s="32"/>
      <c r="H260" s="32"/>
      <c r="I260" s="32"/>
    </row>
    <row r="261" spans="1:9" ht="12">
      <c r="A261" s="32"/>
      <c r="B261" s="38" t="s">
        <v>960</v>
      </c>
      <c r="C261" s="38" t="s">
        <v>961</v>
      </c>
      <c r="D261" s="39" t="s">
        <v>962</v>
      </c>
      <c r="E261" s="38"/>
      <c r="F261" s="38">
        <v>2</v>
      </c>
      <c r="G261" s="32"/>
      <c r="H261" s="32"/>
      <c r="I261" s="32"/>
    </row>
    <row r="262" spans="1:9" ht="12">
      <c r="A262" s="32"/>
      <c r="B262" s="38" t="s">
        <v>963</v>
      </c>
      <c r="C262" s="38" t="s">
        <v>964</v>
      </c>
      <c r="D262" s="39" t="s">
        <v>965</v>
      </c>
      <c r="E262" s="38"/>
      <c r="F262" s="38">
        <v>1</v>
      </c>
      <c r="G262" s="32"/>
      <c r="H262" s="32"/>
      <c r="I262" s="32"/>
    </row>
    <row r="263" spans="1:9" ht="12">
      <c r="A263" s="32"/>
      <c r="B263" s="38" t="s">
        <v>940</v>
      </c>
      <c r="C263" s="38" t="s">
        <v>966</v>
      </c>
      <c r="D263" s="39" t="s">
        <v>967</v>
      </c>
      <c r="E263" s="38"/>
      <c r="F263" s="38">
        <v>1</v>
      </c>
      <c r="G263" s="32"/>
      <c r="H263" s="32"/>
      <c r="I263" s="32"/>
    </row>
    <row r="264" spans="1:9" ht="12">
      <c r="A264" s="32"/>
      <c r="B264" s="38" t="s">
        <v>968</v>
      </c>
      <c r="C264" s="38" t="s">
        <v>969</v>
      </c>
      <c r="D264" s="39" t="s">
        <v>970</v>
      </c>
      <c r="E264" s="38"/>
      <c r="F264" s="38">
        <v>1</v>
      </c>
      <c r="G264" s="32"/>
      <c r="H264" s="32"/>
      <c r="I264" s="32"/>
    </row>
    <row r="265" spans="1:9" ht="12">
      <c r="A265" s="32"/>
      <c r="B265" s="38" t="s">
        <v>968</v>
      </c>
      <c r="C265" s="38" t="s">
        <v>971</v>
      </c>
      <c r="D265" s="39" t="s">
        <v>972</v>
      </c>
      <c r="E265" s="38"/>
      <c r="F265" s="38">
        <v>1</v>
      </c>
      <c r="G265" s="32"/>
      <c r="H265" s="32"/>
      <c r="I265" s="32"/>
    </row>
    <row r="266" spans="1:9" ht="12">
      <c r="A266" s="32"/>
      <c r="B266" s="38" t="s">
        <v>968</v>
      </c>
      <c r="C266" s="38" t="s">
        <v>973</v>
      </c>
      <c r="D266" s="39" t="s">
        <v>974</v>
      </c>
      <c r="E266" s="38"/>
      <c r="F266" s="38">
        <v>1</v>
      </c>
      <c r="G266" s="32"/>
      <c r="H266" s="32"/>
      <c r="I266" s="32"/>
    </row>
    <row r="267" spans="1:9" ht="12">
      <c r="A267" s="32"/>
      <c r="B267" s="38" t="s">
        <v>968</v>
      </c>
      <c r="C267" s="38" t="s">
        <v>975</v>
      </c>
      <c r="D267" s="39" t="s">
        <v>976</v>
      </c>
      <c r="E267" s="38"/>
      <c r="F267" s="38">
        <v>1</v>
      </c>
      <c r="G267" s="32"/>
      <c r="H267" s="32"/>
      <c r="I267" s="32"/>
    </row>
    <row r="268" spans="1:9" ht="12">
      <c r="A268" s="32"/>
      <c r="B268" s="38" t="s">
        <v>977</v>
      </c>
      <c r="C268" s="38"/>
      <c r="D268" s="39"/>
      <c r="E268" s="38"/>
      <c r="F268" s="38">
        <v>4</v>
      </c>
      <c r="G268" s="32"/>
      <c r="H268" s="32"/>
      <c r="I268" s="32"/>
    </row>
    <row r="269" spans="1:9" ht="12">
      <c r="A269" s="32"/>
      <c r="B269" s="38" t="s">
        <v>980</v>
      </c>
      <c r="C269" s="110" t="s">
        <v>1010</v>
      </c>
      <c r="D269" s="109" t="s">
        <v>1011</v>
      </c>
      <c r="E269" s="38"/>
      <c r="F269" s="38">
        <v>2</v>
      </c>
      <c r="G269" s="32"/>
      <c r="H269" s="32"/>
      <c r="I269" s="32"/>
    </row>
    <row r="270" spans="1:9" ht="12">
      <c r="A270" s="32"/>
      <c r="B270" s="38" t="s">
        <v>968</v>
      </c>
      <c r="C270" s="38" t="s">
        <v>985</v>
      </c>
      <c r="D270" s="39" t="s">
        <v>986</v>
      </c>
      <c r="E270" s="38"/>
      <c r="F270" s="38">
        <v>2</v>
      </c>
      <c r="G270" s="32"/>
      <c r="H270" s="32"/>
      <c r="I270" s="32"/>
    </row>
    <row r="271" spans="1:9" ht="12">
      <c r="A271" s="32"/>
      <c r="B271" s="38" t="s">
        <v>1015</v>
      </c>
      <c r="C271" s="38" t="s">
        <v>401</v>
      </c>
      <c r="D271" s="39" t="s">
        <v>402</v>
      </c>
      <c r="E271" s="38"/>
      <c r="F271" s="38">
        <v>1</v>
      </c>
      <c r="G271" s="32"/>
      <c r="H271" s="32"/>
      <c r="I271" s="32"/>
    </row>
    <row r="272" spans="1:9" ht="12">
      <c r="A272" s="32"/>
      <c r="B272" s="38" t="s">
        <v>146</v>
      </c>
      <c r="C272" s="38" t="s">
        <v>296</v>
      </c>
      <c r="D272" s="39" t="s">
        <v>298</v>
      </c>
      <c r="E272" s="38">
        <v>3</v>
      </c>
      <c r="F272" s="38">
        <v>1</v>
      </c>
      <c r="G272" s="32"/>
      <c r="H272" s="32"/>
      <c r="I272" s="32"/>
    </row>
    <row r="273" spans="1:9" ht="12">
      <c r="A273" s="32"/>
      <c r="B273" s="38" t="s">
        <v>146</v>
      </c>
      <c r="C273" s="38" t="s">
        <v>209</v>
      </c>
      <c r="D273" s="39" t="s">
        <v>211</v>
      </c>
      <c r="E273" s="38">
        <v>1</v>
      </c>
      <c r="F273" s="38">
        <v>1</v>
      </c>
      <c r="G273" s="32"/>
      <c r="H273" s="32"/>
      <c r="I273" s="32"/>
    </row>
    <row r="274" spans="1:9" ht="12">
      <c r="A274" s="32"/>
      <c r="B274" s="38" t="s">
        <v>360</v>
      </c>
      <c r="C274" s="38" t="s">
        <v>409</v>
      </c>
      <c r="D274" s="39" t="s">
        <v>411</v>
      </c>
      <c r="E274" s="38">
        <v>5</v>
      </c>
      <c r="F274" s="38">
        <v>1</v>
      </c>
      <c r="G274" s="32"/>
      <c r="H274" s="32"/>
      <c r="I274" s="32"/>
    </row>
    <row r="275" spans="1:9" ht="12">
      <c r="A275" s="32"/>
      <c r="B275" s="38" t="s">
        <v>1013</v>
      </c>
      <c r="C275" s="38" t="s">
        <v>381</v>
      </c>
      <c r="D275" s="39" t="s">
        <v>383</v>
      </c>
      <c r="E275" s="38">
        <v>1</v>
      </c>
      <c r="F275" s="38">
        <v>1</v>
      </c>
      <c r="G275" s="32"/>
      <c r="H275" s="32"/>
      <c r="I275" s="32"/>
    </row>
    <row r="276" spans="1:9" ht="12">
      <c r="A276" s="32"/>
      <c r="B276" s="32"/>
      <c r="C276" s="32"/>
      <c r="D276" s="91"/>
      <c r="E276" s="32"/>
      <c r="F276" s="32"/>
      <c r="G276" s="32"/>
      <c r="H276" s="32"/>
      <c r="I276" s="32"/>
    </row>
    <row r="277" spans="1:9" ht="12">
      <c r="A277" s="32"/>
      <c r="B277" s="32"/>
      <c r="C277" s="32"/>
      <c r="D277" s="91"/>
      <c r="E277" s="32"/>
      <c r="F277" s="32"/>
      <c r="G277" s="32"/>
      <c r="H277" s="32"/>
      <c r="I277" s="32"/>
    </row>
  </sheetData>
  <phoneticPr fontId="5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D95F6-3F45-4239-8852-CD91CF33F42F}">
  <dimension ref="B2:C12"/>
  <sheetViews>
    <sheetView workbookViewId="0">
      <selection activeCell="C19" sqref="C19"/>
    </sheetView>
  </sheetViews>
  <sheetFormatPr defaultColWidth="8.875" defaultRowHeight="12"/>
  <cols>
    <col min="1" max="1" width="4.5" style="5" customWidth="1"/>
    <col min="2" max="2" width="11.5" style="5" bestFit="1" customWidth="1"/>
    <col min="3" max="3" width="72.375" style="5" customWidth="1"/>
    <col min="4" max="16384" width="8.875" style="5"/>
  </cols>
  <sheetData>
    <row r="2" spans="2:3" ht="22.9" customHeight="1">
      <c r="B2" s="6" t="s">
        <v>891</v>
      </c>
      <c r="C2" s="7" t="s">
        <v>1017</v>
      </c>
    </row>
    <row r="3" spans="2:3">
      <c r="B3" s="8">
        <v>20240919</v>
      </c>
    </row>
    <row r="4" spans="2:3">
      <c r="B4" s="8">
        <v>20241011</v>
      </c>
    </row>
    <row r="5" spans="2:3">
      <c r="B5" s="8">
        <v>20241018</v>
      </c>
    </row>
    <row r="6" spans="2:3">
      <c r="B6" s="8">
        <v>20241023</v>
      </c>
    </row>
    <row r="7" spans="2:3">
      <c r="B7" s="4"/>
      <c r="C7" s="4"/>
    </row>
    <row r="8" spans="2:3">
      <c r="B8" s="4"/>
      <c r="C8" s="4"/>
    </row>
    <row r="9" spans="2:3">
      <c r="B9" s="4"/>
      <c r="C9" s="4"/>
    </row>
    <row r="10" spans="2:3">
      <c r="B10" s="4"/>
      <c r="C10" s="4"/>
    </row>
    <row r="11" spans="2:3">
      <c r="B11" s="4"/>
      <c r="C11" s="4"/>
    </row>
    <row r="12" spans="2:3">
      <c r="B12" s="4"/>
      <c r="C12" s="4"/>
    </row>
  </sheetData>
  <phoneticPr fontId="5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showGridLines="0" topLeftCell="A9" zoomScale="85" zoomScaleNormal="85" workbookViewId="0">
      <selection activeCell="C16" sqref="C16"/>
    </sheetView>
  </sheetViews>
  <sheetFormatPr defaultColWidth="8.875" defaultRowHeight="12"/>
  <cols>
    <col min="1" max="1" width="10.875" style="149" bestFit="1" customWidth="1"/>
    <col min="2" max="2" width="8.875" style="149"/>
    <col min="3" max="3" width="63.625" style="149" customWidth="1"/>
    <col min="4" max="4" width="21.625" style="149" customWidth="1"/>
    <col min="5" max="5" width="36" style="141" bestFit="1" customWidth="1"/>
    <col min="6" max="16384" width="8.875" style="149"/>
  </cols>
  <sheetData>
    <row r="1" spans="1:8" ht="14.25">
      <c r="A1" s="148"/>
      <c r="B1" s="148"/>
      <c r="C1" s="148"/>
      <c r="D1" s="148"/>
    </row>
    <row r="2" spans="1:8" ht="15.75">
      <c r="A2" s="150" t="s">
        <v>1018</v>
      </c>
      <c r="B2" s="150" t="s">
        <v>1019</v>
      </c>
      <c r="C2" s="151" t="s">
        <v>1020</v>
      </c>
      <c r="D2" s="152" t="s">
        <v>1021</v>
      </c>
      <c r="E2" s="152" t="s">
        <v>1022</v>
      </c>
    </row>
    <row r="3" spans="1:8" ht="72.75" customHeight="1">
      <c r="A3" s="147" t="s">
        <v>1023</v>
      </c>
      <c r="B3" s="147" t="s">
        <v>1024</v>
      </c>
      <c r="C3" s="153" t="s">
        <v>1025</v>
      </c>
      <c r="D3" s="145" t="s">
        <v>1026</v>
      </c>
      <c r="E3" s="142" t="s">
        <v>1027</v>
      </c>
    </row>
    <row r="4" spans="1:8" s="155" customFormat="1" ht="68.25" customHeight="1">
      <c r="A4" s="143">
        <v>45762</v>
      </c>
      <c r="B4" s="144" t="s">
        <v>1028</v>
      </c>
      <c r="C4" s="154" t="s">
        <v>1029</v>
      </c>
      <c r="D4" s="145" t="s">
        <v>1026</v>
      </c>
      <c r="E4" s="146" t="s">
        <v>1030</v>
      </c>
    </row>
    <row r="5" spans="1:8" ht="154.5" customHeight="1">
      <c r="A5" s="143">
        <v>45772</v>
      </c>
      <c r="B5" s="144" t="s">
        <v>1031</v>
      </c>
      <c r="C5" s="154" t="s">
        <v>1032</v>
      </c>
      <c r="D5" s="145" t="s">
        <v>1026</v>
      </c>
      <c r="E5" s="146" t="s">
        <v>1033</v>
      </c>
    </row>
    <row r="6" spans="1:8" ht="24.75">
      <c r="A6" s="143">
        <v>45776</v>
      </c>
      <c r="B6" s="144" t="s">
        <v>1034</v>
      </c>
      <c r="C6" s="154" t="s">
        <v>1035</v>
      </c>
      <c r="D6" s="145" t="s">
        <v>1026</v>
      </c>
      <c r="E6" s="146"/>
    </row>
    <row r="7" spans="1:8" ht="73.5">
      <c r="A7" s="143">
        <v>45792</v>
      </c>
      <c r="B7" s="144" t="s">
        <v>1036</v>
      </c>
      <c r="C7" s="154" t="s">
        <v>1037</v>
      </c>
      <c r="D7" s="145" t="s">
        <v>1026</v>
      </c>
      <c r="E7" s="146" t="s">
        <v>1038</v>
      </c>
    </row>
    <row r="8" spans="1:8" ht="24.75">
      <c r="A8" s="143">
        <v>45799</v>
      </c>
      <c r="B8" s="144" t="s">
        <v>1039</v>
      </c>
      <c r="C8" s="154" t="s">
        <v>1040</v>
      </c>
      <c r="D8" s="145" t="s">
        <v>1026</v>
      </c>
      <c r="E8" s="146"/>
    </row>
    <row r="9" spans="1:8" ht="82.5" customHeight="1">
      <c r="A9" s="143">
        <v>45807</v>
      </c>
      <c r="B9" s="144" t="s">
        <v>1041</v>
      </c>
      <c r="C9" s="154" t="s">
        <v>1042</v>
      </c>
      <c r="D9" s="145" t="s">
        <v>1026</v>
      </c>
      <c r="E9" s="146"/>
    </row>
    <row r="10" spans="1:8" ht="49.5">
      <c r="A10" s="143">
        <v>45818</v>
      </c>
      <c r="B10" s="144" t="s">
        <v>1043</v>
      </c>
      <c r="C10" s="154" t="s">
        <v>1044</v>
      </c>
      <c r="D10" s="145" t="s">
        <v>1026</v>
      </c>
      <c r="E10" s="146"/>
      <c r="H10" s="280"/>
    </row>
    <row r="11" spans="1:8" ht="98.25">
      <c r="A11" s="143">
        <v>45827</v>
      </c>
      <c r="B11" s="144" t="s">
        <v>1045</v>
      </c>
      <c r="C11" s="154" t="s">
        <v>1046</v>
      </c>
      <c r="D11" s="145" t="s">
        <v>1026</v>
      </c>
      <c r="E11" s="146"/>
    </row>
    <row r="12" spans="1:8" ht="111">
      <c r="A12" s="143">
        <v>45833</v>
      </c>
      <c r="B12" s="144" t="s">
        <v>1047</v>
      </c>
      <c r="C12" s="154" t="s">
        <v>1048</v>
      </c>
      <c r="D12" s="145" t="s">
        <v>1026</v>
      </c>
      <c r="E12" s="146"/>
    </row>
    <row r="13" spans="1:8" ht="12.75">
      <c r="A13" s="143">
        <v>45841</v>
      </c>
      <c r="B13" s="144" t="s">
        <v>1049</v>
      </c>
      <c r="C13" s="154" t="s">
        <v>1050</v>
      </c>
      <c r="D13" s="145" t="s">
        <v>1026</v>
      </c>
      <c r="E13" s="146"/>
    </row>
  </sheetData>
  <phoneticPr fontId="5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2bd844-6166-4ebd-82ab-9d3564d300ad">
      <Terms xmlns="http://schemas.microsoft.com/office/infopath/2007/PartnerControls"/>
    </lcf76f155ced4ddcb4097134ff3c332f>
    <TaxCatchAll xmlns="70d4e812-ec71-4c92-af9b-45cd21157055" xsi:nil="true"/>
    <_dlc_DocId xmlns="70d4e812-ec71-4c92-af9b-45cd21157055">R433YAPHW6FQ-1280600992-63056</_dlc_DocId>
    <_dlc_DocIdUrl xmlns="70d4e812-ec71-4c92-af9b-45cd21157055">
      <Url>https://lenovobeijing.sharepoint.com/sites/c4c dev/_layouts/15/DocIdRedir.aspx?ID=R433YAPHW6FQ-1280600992-63056</Url>
      <Description>R433YAPHW6FQ-1280600992-63056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661F60244B904A94AAB041D483361E" ma:contentTypeVersion="362" ma:contentTypeDescription="Create a new document." ma:contentTypeScope="" ma:versionID="9d9f0d4a3a38f274482d481d0ddd606f">
  <xsd:schema xmlns:xsd="http://www.w3.org/2001/XMLSchema" xmlns:xs="http://www.w3.org/2001/XMLSchema" xmlns:p="http://schemas.microsoft.com/office/2006/metadata/properties" xmlns:ns2="70d4e812-ec71-4c92-af9b-45cd21157055" xmlns:ns3="ac2bd844-6166-4ebd-82ab-9d3564d300ad" targetNamespace="http://schemas.microsoft.com/office/2006/metadata/properties" ma:root="true" ma:fieldsID="cf0237f3e4467317acbe31b950d4d7f2" ns2:_="" ns3:_="">
    <xsd:import namespace="70d4e812-ec71-4c92-af9b-45cd21157055"/>
    <xsd:import namespace="ac2bd844-6166-4ebd-82ab-9d3564d300a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Location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d4e812-ec71-4c92-af9b-45cd2115705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e9764c39-2b89-40b3-93fb-aa6567b6e98b}" ma:internalName="TaxCatchAll" ma:showField="CatchAllData" ma:web="70d4e812-ec71-4c92-af9b-45cd211570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bd844-6166-4ebd-82ab-9d3564d300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b2ab70-381d-4de1-873d-678182fc59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5A364C27-FBE3-41A5-B2A7-2FADA048001F}"/>
</file>

<file path=customXml/itemProps2.xml><?xml version="1.0" encoding="utf-8"?>
<ds:datastoreItem xmlns:ds="http://schemas.openxmlformats.org/officeDocument/2006/customXml" ds:itemID="{3C1A6021-7A3F-4A47-8B2F-B2ED7D94033B}"/>
</file>

<file path=customXml/itemProps3.xml><?xml version="1.0" encoding="utf-8"?>
<ds:datastoreItem xmlns:ds="http://schemas.openxmlformats.org/officeDocument/2006/customXml" ds:itemID="{6A38C122-AE33-4ECC-AF7F-988E48F674F0}"/>
</file>

<file path=customXml/itemProps4.xml><?xml version="1.0" encoding="utf-8"?>
<ds:datastoreItem xmlns:ds="http://schemas.openxmlformats.org/officeDocument/2006/customXml" ds:itemID="{3BC81ED8-FD2E-4F57-8BE7-2ADDA1F54E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Yimin YM3 Cai | 蔡依敏</cp:lastModifiedBy>
  <cp:revision/>
  <dcterms:created xsi:type="dcterms:W3CDTF">2015-06-05T18:19:34Z</dcterms:created>
  <dcterms:modified xsi:type="dcterms:W3CDTF">2026-02-04T10:30:51Z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0x01010090661F60244B904A94AAB041D483361E</vt:lpwstr>
  </property>
  <property fmtid="{D5CDD505-2E9C-101B-9397-08002B2CF9AE}" pid="3" name="_dlc_DocIdItemGuid">
    <vt:lpwstr>409f21ac-d3cf-4f85-b19b-d68e524349a7</vt:lpwstr>
  </property>
</Properties>
</file>